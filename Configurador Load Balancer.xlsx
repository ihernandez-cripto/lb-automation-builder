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.hernandez\Documents\06.SVLB\"/>
    </mc:Choice>
  </mc:AlternateContent>
  <xr:revisionPtr revIDLastSave="0" documentId="13_ncr:1_{C5A159A2-DDC8-49DB-A603-EC175CD14A5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B_GENERAL" sheetId="21" r:id="rId1"/>
    <sheet name="LB_PRODUCCION_02" sheetId="28" r:id="rId2"/>
    <sheet name="PRODUCCION" sheetId="12" r:id="rId3"/>
    <sheet name="PUERTOS_TEST" sheetId="24" r:id="rId4"/>
    <sheet name="Hoja1" sheetId="25" r:id="rId5"/>
  </sheets>
  <definedNames>
    <definedName name="_xlnm._FilterDatabase" localSheetId="0" hidden="1">LB_GENERAL!$A$176:$R$176</definedName>
    <definedName name="_xlnm._FilterDatabase" localSheetId="3" hidden="1">PUERTOS_TEST!$A$1:$H$438</definedName>
    <definedName name="TEST" localSheetId="1">LB_PRODUCCION_02!#REF!</definedName>
    <definedName name="TEST">LB_GENERAL!$A$5:$Q$158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54" i="21" l="1"/>
  <c r="R355" i="21"/>
  <c r="O355" i="21"/>
  <c r="O354" i="21"/>
  <c r="O353" i="21"/>
  <c r="O352" i="21"/>
  <c r="N355" i="21"/>
  <c r="N354" i="21"/>
  <c r="N353" i="21"/>
  <c r="R353" i="21" s="1"/>
  <c r="N352" i="21"/>
  <c r="L355" i="21"/>
  <c r="L354" i="21"/>
  <c r="L353" i="21"/>
  <c r="L352" i="21"/>
  <c r="A352" i="21"/>
  <c r="R352" i="21" s="1"/>
  <c r="N121" i="28" l="1"/>
  <c r="M121" i="28"/>
  <c r="O121" i="28" s="1"/>
  <c r="L121" i="28"/>
  <c r="N120" i="28"/>
  <c r="M120" i="28"/>
  <c r="O120" i="28" s="1"/>
  <c r="L120" i="28"/>
  <c r="N119" i="28"/>
  <c r="M119" i="28"/>
  <c r="O119" i="28" s="1"/>
  <c r="L119" i="28"/>
  <c r="R119" i="28" s="1"/>
  <c r="N118" i="28"/>
  <c r="M118" i="28"/>
  <c r="L118" i="28"/>
  <c r="O634" i="21"/>
  <c r="R634" i="21" s="1"/>
  <c r="N634" i="21"/>
  <c r="M634" i="21"/>
  <c r="L634" i="21"/>
  <c r="N633" i="21"/>
  <c r="M633" i="21"/>
  <c r="O633" i="21" s="1"/>
  <c r="L633" i="21"/>
  <c r="N632" i="21"/>
  <c r="M632" i="21"/>
  <c r="L632" i="21"/>
  <c r="N631" i="21"/>
  <c r="M631" i="21"/>
  <c r="L631" i="21"/>
  <c r="N117" i="28"/>
  <c r="M117" i="28"/>
  <c r="O117" i="28" s="1"/>
  <c r="L117" i="28"/>
  <c r="N116" i="28"/>
  <c r="M116" i="28"/>
  <c r="L116" i="28"/>
  <c r="N115" i="28"/>
  <c r="M115" i="28"/>
  <c r="L115" i="28"/>
  <c r="N114" i="28"/>
  <c r="M114" i="28"/>
  <c r="O114" i="28" s="1"/>
  <c r="L114" i="28"/>
  <c r="N113" i="28"/>
  <c r="M113" i="28"/>
  <c r="O113" i="28" s="1"/>
  <c r="L113" i="28"/>
  <c r="N112" i="28"/>
  <c r="M112" i="28"/>
  <c r="L112" i="28"/>
  <c r="N111" i="28"/>
  <c r="M111" i="28"/>
  <c r="L111" i="28"/>
  <c r="N110" i="28"/>
  <c r="M110" i="28"/>
  <c r="O110" i="28" s="1"/>
  <c r="L110" i="28"/>
  <c r="N109" i="28"/>
  <c r="M109" i="28"/>
  <c r="O109" i="28" s="1"/>
  <c r="L109" i="28"/>
  <c r="N108" i="28"/>
  <c r="M108" i="28"/>
  <c r="L108" i="28"/>
  <c r="N107" i="28"/>
  <c r="M107" i="28"/>
  <c r="L107" i="28"/>
  <c r="N106" i="28"/>
  <c r="M106" i="28"/>
  <c r="O106" i="28" s="1"/>
  <c r="L106" i="28"/>
  <c r="N105" i="28"/>
  <c r="M105" i="28"/>
  <c r="O105" i="28" s="1"/>
  <c r="L105" i="28"/>
  <c r="N104" i="28"/>
  <c r="M104" i="28"/>
  <c r="L104" i="28"/>
  <c r="N103" i="28"/>
  <c r="M103" i="28"/>
  <c r="L103" i="28"/>
  <c r="N102" i="28"/>
  <c r="M102" i="28"/>
  <c r="O102" i="28" s="1"/>
  <c r="L102" i="28"/>
  <c r="N101" i="28"/>
  <c r="M101" i="28"/>
  <c r="O101" i="28" s="1"/>
  <c r="L101" i="28"/>
  <c r="N100" i="28"/>
  <c r="M100" i="28"/>
  <c r="L100" i="28"/>
  <c r="N99" i="28"/>
  <c r="M99" i="28"/>
  <c r="L99" i="28"/>
  <c r="N98" i="28"/>
  <c r="M98" i="28"/>
  <c r="O98" i="28" s="1"/>
  <c r="L98" i="28"/>
  <c r="N97" i="28"/>
  <c r="M97" i="28"/>
  <c r="O97" i="28" s="1"/>
  <c r="L97" i="28"/>
  <c r="N96" i="28"/>
  <c r="M96" i="28"/>
  <c r="L96" i="28"/>
  <c r="N95" i="28"/>
  <c r="M95" i="28"/>
  <c r="L95" i="28"/>
  <c r="N94" i="28"/>
  <c r="M94" i="28"/>
  <c r="O94" i="28" s="1"/>
  <c r="L94" i="28"/>
  <c r="N93" i="28"/>
  <c r="M93" i="28"/>
  <c r="O93" i="28" s="1"/>
  <c r="L93" i="28"/>
  <c r="N92" i="28"/>
  <c r="M92" i="28"/>
  <c r="L92" i="28"/>
  <c r="N91" i="28"/>
  <c r="M91" i="28"/>
  <c r="L91" i="28"/>
  <c r="N90" i="28"/>
  <c r="M90" i="28"/>
  <c r="O90" i="28" s="1"/>
  <c r="L90" i="28"/>
  <c r="N89" i="28"/>
  <c r="M89" i="28"/>
  <c r="O89" i="28" s="1"/>
  <c r="L89" i="28"/>
  <c r="N88" i="28"/>
  <c r="M88" i="28"/>
  <c r="L88" i="28"/>
  <c r="N87" i="28"/>
  <c r="M87" i="28"/>
  <c r="L87" i="28"/>
  <c r="O86" i="28"/>
  <c r="N86" i="28"/>
  <c r="M86" i="28"/>
  <c r="L86" i="28"/>
  <c r="O85" i="28"/>
  <c r="N85" i="28"/>
  <c r="M85" i="28"/>
  <c r="L85" i="28"/>
  <c r="N84" i="28"/>
  <c r="M84" i="28"/>
  <c r="L84" i="28"/>
  <c r="N83" i="28"/>
  <c r="M83" i="28"/>
  <c r="L83" i="28"/>
  <c r="N82" i="28"/>
  <c r="M82" i="28"/>
  <c r="O82" i="28" s="1"/>
  <c r="L82" i="28"/>
  <c r="N81" i="28"/>
  <c r="M81" i="28"/>
  <c r="O81" i="28" s="1"/>
  <c r="L81" i="28"/>
  <c r="N80" i="28"/>
  <c r="M80" i="28"/>
  <c r="L80" i="28"/>
  <c r="N79" i="28"/>
  <c r="M79" i="28"/>
  <c r="L79" i="28"/>
  <c r="N78" i="28"/>
  <c r="M78" i="28"/>
  <c r="O78" i="28" s="1"/>
  <c r="L78" i="28"/>
  <c r="N77" i="28"/>
  <c r="M77" i="28"/>
  <c r="O77" i="28" s="1"/>
  <c r="L77" i="28"/>
  <c r="N76" i="28"/>
  <c r="M76" i="28"/>
  <c r="L76" i="28"/>
  <c r="N75" i="28"/>
  <c r="M75" i="28"/>
  <c r="L75" i="28"/>
  <c r="N74" i="28"/>
  <c r="M74" i="28"/>
  <c r="O74" i="28" s="1"/>
  <c r="L74" i="28"/>
  <c r="N73" i="28"/>
  <c r="M73" i="28"/>
  <c r="O73" i="28" s="1"/>
  <c r="L73" i="28"/>
  <c r="N72" i="28"/>
  <c r="M72" i="28"/>
  <c r="L72" i="28"/>
  <c r="N71" i="28"/>
  <c r="M71" i="28"/>
  <c r="L71" i="28"/>
  <c r="O70" i="28"/>
  <c r="N70" i="28"/>
  <c r="M70" i="28"/>
  <c r="L70" i="28"/>
  <c r="G69" i="28"/>
  <c r="R69" i="28" s="1"/>
  <c r="G68" i="28"/>
  <c r="R68" i="28" s="1"/>
  <c r="O67" i="28"/>
  <c r="N67" i="28"/>
  <c r="L67" i="28"/>
  <c r="R67" i="28" s="1"/>
  <c r="O66" i="28"/>
  <c r="N66" i="28"/>
  <c r="L66" i="28"/>
  <c r="O65" i="28"/>
  <c r="N65" i="28"/>
  <c r="L65" i="28"/>
  <c r="O64" i="28"/>
  <c r="N64" i="28"/>
  <c r="L64" i="28"/>
  <c r="O63" i="28"/>
  <c r="N63" i="28"/>
  <c r="L63" i="28"/>
  <c r="R63" i="28" s="1"/>
  <c r="O62" i="28"/>
  <c r="N62" i="28"/>
  <c r="L62" i="28"/>
  <c r="O61" i="28"/>
  <c r="N61" i="28"/>
  <c r="L61" i="28"/>
  <c r="O60" i="28"/>
  <c r="N60" i="28"/>
  <c r="L60" i="28"/>
  <c r="N59" i="28"/>
  <c r="M59" i="28"/>
  <c r="O59" i="28" s="1"/>
  <c r="L59" i="28"/>
  <c r="N58" i="28"/>
  <c r="M58" i="28"/>
  <c r="L58" i="28"/>
  <c r="N57" i="28"/>
  <c r="M57" i="28"/>
  <c r="O57" i="28" s="1"/>
  <c r="L57" i="28"/>
  <c r="N56" i="28"/>
  <c r="M56" i="28"/>
  <c r="O56" i="28" s="1"/>
  <c r="L56" i="28"/>
  <c r="N55" i="28"/>
  <c r="M55" i="28"/>
  <c r="O55" i="28" s="1"/>
  <c r="L55" i="28"/>
  <c r="N54" i="28"/>
  <c r="M54" i="28"/>
  <c r="L54" i="28"/>
  <c r="N53" i="28"/>
  <c r="M53" i="28"/>
  <c r="O53" i="28" s="1"/>
  <c r="L53" i="28"/>
  <c r="O52" i="28"/>
  <c r="N52" i="28"/>
  <c r="M52" i="28"/>
  <c r="L52" i="28"/>
  <c r="O51" i="28"/>
  <c r="N51" i="28"/>
  <c r="L51" i="28"/>
  <c r="O50" i="28"/>
  <c r="N50" i="28"/>
  <c r="L50" i="28"/>
  <c r="R50" i="28" s="1"/>
  <c r="R49" i="28"/>
  <c r="L49" i="28"/>
  <c r="L48" i="28"/>
  <c r="R48" i="28" s="1"/>
  <c r="O47" i="28"/>
  <c r="N47" i="28"/>
  <c r="L47" i="28"/>
  <c r="R47" i="28" s="1"/>
  <c r="O46" i="28"/>
  <c r="N46" i="28"/>
  <c r="L46" i="28"/>
  <c r="O45" i="28"/>
  <c r="N45" i="28"/>
  <c r="L45" i="28"/>
  <c r="R45" i="28" s="1"/>
  <c r="O44" i="28"/>
  <c r="N44" i="28"/>
  <c r="L44" i="28"/>
  <c r="O43" i="28"/>
  <c r="N43" i="28"/>
  <c r="L43" i="28"/>
  <c r="R43" i="28" s="1"/>
  <c r="O42" i="28"/>
  <c r="N42" i="28"/>
  <c r="L42" i="28"/>
  <c r="O41" i="28"/>
  <c r="N41" i="28"/>
  <c r="L41" i="28"/>
  <c r="R41" i="28" s="1"/>
  <c r="O40" i="28"/>
  <c r="N40" i="28"/>
  <c r="L40" i="28"/>
  <c r="O39" i="28"/>
  <c r="N39" i="28"/>
  <c r="L39" i="28"/>
  <c r="R39" i="28" s="1"/>
  <c r="O38" i="28"/>
  <c r="N38" i="28"/>
  <c r="L38" i="28"/>
  <c r="O37" i="28"/>
  <c r="N37" i="28"/>
  <c r="L37" i="28"/>
  <c r="R37" i="28" s="1"/>
  <c r="O36" i="28"/>
  <c r="N36" i="28"/>
  <c r="L36" i="28"/>
  <c r="O35" i="28"/>
  <c r="N35" i="28"/>
  <c r="L35" i="28"/>
  <c r="R35" i="28" s="1"/>
  <c r="O34" i="28"/>
  <c r="N34" i="28"/>
  <c r="L34" i="28"/>
  <c r="O33" i="28"/>
  <c r="N33" i="28"/>
  <c r="L33" i="28"/>
  <c r="R33" i="28" s="1"/>
  <c r="O32" i="28"/>
  <c r="N32" i="28"/>
  <c r="L32" i="28"/>
  <c r="R32" i="28" s="1"/>
  <c r="O31" i="28"/>
  <c r="N31" i="28"/>
  <c r="L31" i="28"/>
  <c r="R31" i="28" s="1"/>
  <c r="O30" i="28"/>
  <c r="N30" i="28"/>
  <c r="L30" i="28"/>
  <c r="O29" i="28"/>
  <c r="N29" i="28"/>
  <c r="L29" i="28"/>
  <c r="R29" i="28" s="1"/>
  <c r="O28" i="28"/>
  <c r="N28" i="28"/>
  <c r="L28" i="28"/>
  <c r="R28" i="28" s="1"/>
  <c r="O27" i="28"/>
  <c r="N27" i="28"/>
  <c r="L27" i="28"/>
  <c r="R27" i="28" s="1"/>
  <c r="O26" i="28"/>
  <c r="N26" i="28"/>
  <c r="L26" i="28"/>
  <c r="O25" i="28"/>
  <c r="N25" i="28"/>
  <c r="L25" i="28"/>
  <c r="R25" i="28" s="1"/>
  <c r="O24" i="28"/>
  <c r="N24" i="28"/>
  <c r="L24" i="28"/>
  <c r="R24" i="28" s="1"/>
  <c r="O23" i="28"/>
  <c r="N23" i="28"/>
  <c r="L23" i="28"/>
  <c r="R23" i="28" s="1"/>
  <c r="O22" i="28"/>
  <c r="N22" i="28"/>
  <c r="L22" i="28"/>
  <c r="O21" i="28"/>
  <c r="N21" i="28"/>
  <c r="L21" i="28"/>
  <c r="R21" i="28" s="1"/>
  <c r="O20" i="28"/>
  <c r="N20" i="28"/>
  <c r="L20" i="28"/>
  <c r="R20" i="28" s="1"/>
  <c r="O19" i="28"/>
  <c r="N19" i="28"/>
  <c r="L19" i="28"/>
  <c r="R19" i="28" s="1"/>
  <c r="O18" i="28"/>
  <c r="N18" i="28"/>
  <c r="L18" i="28"/>
  <c r="O17" i="28"/>
  <c r="N17" i="28"/>
  <c r="L17" i="28"/>
  <c r="R17" i="28" s="1"/>
  <c r="O16" i="28"/>
  <c r="N16" i="28"/>
  <c r="L16" i="28"/>
  <c r="R16" i="28" s="1"/>
  <c r="O15" i="28"/>
  <c r="N15" i="28"/>
  <c r="L15" i="28"/>
  <c r="R15" i="28" s="1"/>
  <c r="O14" i="28"/>
  <c r="N14" i="28"/>
  <c r="L14" i="28"/>
  <c r="O13" i="28"/>
  <c r="N13" i="28"/>
  <c r="L13" i="28"/>
  <c r="R13" i="28" s="1"/>
  <c r="O12" i="28"/>
  <c r="N12" i="28"/>
  <c r="L12" i="28"/>
  <c r="R12" i="28" s="1"/>
  <c r="O11" i="28"/>
  <c r="N11" i="28"/>
  <c r="L11" i="28"/>
  <c r="R11" i="28" s="1"/>
  <c r="O10" i="28"/>
  <c r="N10" i="28"/>
  <c r="L10" i="28"/>
  <c r="O9" i="28"/>
  <c r="N9" i="28"/>
  <c r="L9" i="28"/>
  <c r="R9" i="28" s="1"/>
  <c r="O8" i="28"/>
  <c r="N8" i="28"/>
  <c r="L8" i="28"/>
  <c r="R8" i="28" s="1"/>
  <c r="O7" i="28"/>
  <c r="N7" i="28"/>
  <c r="L7" i="28"/>
  <c r="R7" i="28" s="1"/>
  <c r="O6" i="28"/>
  <c r="N6" i="28"/>
  <c r="L6" i="28"/>
  <c r="R5" i="28"/>
  <c r="C15" i="21"/>
  <c r="R15" i="21" s="1"/>
  <c r="C16" i="21"/>
  <c r="R16" i="21" s="1"/>
  <c r="C17" i="21"/>
  <c r="R17" i="21" s="1"/>
  <c r="C18" i="21"/>
  <c r="R18" i="21" s="1"/>
  <c r="R68" i="21"/>
  <c r="R69" i="21"/>
  <c r="R70" i="21"/>
  <c r="R71" i="21"/>
  <c r="R72" i="21"/>
  <c r="R73" i="21"/>
  <c r="R74" i="21"/>
  <c r="R75" i="21"/>
  <c r="R76" i="21"/>
  <c r="R60" i="28" l="1"/>
  <c r="R64" i="28"/>
  <c r="R77" i="28"/>
  <c r="R40" i="28"/>
  <c r="R36" i="28"/>
  <c r="R44" i="28"/>
  <c r="R85" i="28"/>
  <c r="R61" i="28"/>
  <c r="R65" i="28"/>
  <c r="R120" i="28"/>
  <c r="R93" i="28"/>
  <c r="R62" i="28"/>
  <c r="R66" i="28"/>
  <c r="R101" i="28"/>
  <c r="O631" i="21"/>
  <c r="R631" i="21" s="1"/>
  <c r="R633" i="21"/>
  <c r="R121" i="28"/>
  <c r="R6" i="28"/>
  <c r="R10" i="28"/>
  <c r="R14" i="28"/>
  <c r="R18" i="28"/>
  <c r="R22" i="28"/>
  <c r="R26" i="28"/>
  <c r="R30" i="28"/>
  <c r="R34" i="28"/>
  <c r="R38" i="28"/>
  <c r="R42" i="28"/>
  <c r="R46" i="28"/>
  <c r="R51" i="28"/>
  <c r="R59" i="28"/>
  <c r="R109" i="28"/>
  <c r="O118" i="28"/>
  <c r="R118" i="28" s="1"/>
  <c r="O632" i="21"/>
  <c r="R632" i="21" s="1"/>
  <c r="R117" i="28"/>
  <c r="R52" i="28"/>
  <c r="R78" i="28"/>
  <c r="R94" i="28"/>
  <c r="R110" i="28"/>
  <c r="R55" i="28"/>
  <c r="R73" i="28"/>
  <c r="R81" i="28"/>
  <c r="R89" i="28"/>
  <c r="R97" i="28"/>
  <c r="R105" i="28"/>
  <c r="R113" i="28"/>
  <c r="R74" i="28"/>
  <c r="R90" i="28"/>
  <c r="R106" i="28"/>
  <c r="O72" i="28"/>
  <c r="R72" i="28" s="1"/>
  <c r="O88" i="28"/>
  <c r="R88" i="28" s="1"/>
  <c r="O104" i="28"/>
  <c r="R104" i="28" s="1"/>
  <c r="R57" i="28"/>
  <c r="O58" i="28"/>
  <c r="R58" i="28" s="1"/>
  <c r="R70" i="28"/>
  <c r="O84" i="28"/>
  <c r="R84" i="28" s="1"/>
  <c r="R86" i="28"/>
  <c r="O100" i="28"/>
  <c r="R100" i="28" s="1"/>
  <c r="R102" i="28"/>
  <c r="O116" i="28"/>
  <c r="R116" i="28" s="1"/>
  <c r="R53" i="28"/>
  <c r="O54" i="28"/>
  <c r="R54" i="28" s="1"/>
  <c r="R56" i="28"/>
  <c r="O80" i="28"/>
  <c r="R80" i="28" s="1"/>
  <c r="R82" i="28"/>
  <c r="O96" i="28"/>
  <c r="R96" i="28" s="1"/>
  <c r="R98" i="28"/>
  <c r="O112" i="28"/>
  <c r="R112" i="28" s="1"/>
  <c r="R114" i="28"/>
  <c r="O76" i="28"/>
  <c r="R76" i="28" s="1"/>
  <c r="O92" i="28"/>
  <c r="R92" i="28" s="1"/>
  <c r="O108" i="28"/>
  <c r="R108" i="28" s="1"/>
  <c r="O71" i="28"/>
  <c r="R71" i="28" s="1"/>
  <c r="O75" i="28"/>
  <c r="R75" i="28" s="1"/>
  <c r="O79" i="28"/>
  <c r="R79" i="28" s="1"/>
  <c r="O83" i="28"/>
  <c r="R83" i="28" s="1"/>
  <c r="O87" i="28"/>
  <c r="R87" i="28" s="1"/>
  <c r="O91" i="28"/>
  <c r="R91" i="28" s="1"/>
  <c r="O95" i="28"/>
  <c r="R95" i="28" s="1"/>
  <c r="O99" i="28"/>
  <c r="R99" i="28" s="1"/>
  <c r="O103" i="28"/>
  <c r="R103" i="28" s="1"/>
  <c r="O107" i="28"/>
  <c r="R107" i="28" s="1"/>
  <c r="O111" i="28"/>
  <c r="R111" i="28" s="1"/>
  <c r="O115" i="28"/>
  <c r="R115" i="28" s="1"/>
  <c r="L543" i="21"/>
  <c r="R543" i="21" s="1"/>
  <c r="N543" i="21"/>
  <c r="O543" i="21"/>
  <c r="L544" i="21"/>
  <c r="R544" i="21" s="1"/>
  <c r="N544" i="21"/>
  <c r="O544" i="21"/>
  <c r="O552" i="21"/>
  <c r="O551" i="21"/>
  <c r="N630" i="21" l="1"/>
  <c r="N629" i="21"/>
  <c r="N628" i="21"/>
  <c r="N627" i="21"/>
  <c r="N626" i="21"/>
  <c r="N625" i="21"/>
  <c r="N624" i="21"/>
  <c r="N623" i="21"/>
  <c r="N622" i="21"/>
  <c r="N621" i="21"/>
  <c r="N620" i="21"/>
  <c r="N619" i="21"/>
  <c r="N618" i="21"/>
  <c r="N617" i="21"/>
  <c r="N616" i="21"/>
  <c r="N615" i="21"/>
  <c r="N614" i="21"/>
  <c r="N613" i="21"/>
  <c r="N612" i="21"/>
  <c r="N611" i="21"/>
  <c r="N610" i="21"/>
  <c r="N609" i="21"/>
  <c r="N608" i="21"/>
  <c r="N607" i="21"/>
  <c r="N606" i="21"/>
  <c r="N605" i="21"/>
  <c r="N604" i="21"/>
  <c r="N603" i="21"/>
  <c r="N602" i="21"/>
  <c r="N601" i="21"/>
  <c r="N600" i="21"/>
  <c r="N599" i="21"/>
  <c r="N598" i="21"/>
  <c r="N597" i="21"/>
  <c r="N596" i="21"/>
  <c r="N595" i="21"/>
  <c r="N594" i="21"/>
  <c r="N593" i="21"/>
  <c r="N592" i="21"/>
  <c r="N591" i="21"/>
  <c r="N590" i="21"/>
  <c r="N589" i="21"/>
  <c r="N588" i="21"/>
  <c r="N587" i="21"/>
  <c r="N586" i="21"/>
  <c r="N585" i="21"/>
  <c r="N584" i="21"/>
  <c r="N583" i="21"/>
  <c r="N520" i="21"/>
  <c r="N523" i="21"/>
  <c r="N524" i="21"/>
  <c r="N521" i="21"/>
  <c r="N522" i="21"/>
  <c r="N525" i="21"/>
  <c r="N526" i="21"/>
  <c r="N527" i="21"/>
  <c r="N528" i="21"/>
  <c r="N529" i="21"/>
  <c r="N530" i="21"/>
  <c r="N531" i="21"/>
  <c r="N532" i="21"/>
  <c r="N533" i="21"/>
  <c r="N534" i="21"/>
  <c r="N535" i="21"/>
  <c r="N536" i="21"/>
  <c r="N537" i="21"/>
  <c r="N538" i="21"/>
  <c r="N539" i="21"/>
  <c r="N540" i="21"/>
  <c r="N541" i="21"/>
  <c r="N542" i="21"/>
  <c r="N545" i="21"/>
  <c r="N546" i="21"/>
  <c r="N547" i="21"/>
  <c r="N548" i="21"/>
  <c r="N549" i="21"/>
  <c r="N550" i="21"/>
  <c r="N551" i="21"/>
  <c r="N552" i="21"/>
  <c r="N553" i="21"/>
  <c r="N554" i="21"/>
  <c r="N555" i="21"/>
  <c r="N556" i="21"/>
  <c r="N557" i="21"/>
  <c r="N558" i="21"/>
  <c r="N559" i="21"/>
  <c r="N560" i="21"/>
  <c r="N563" i="21"/>
  <c r="N564" i="21"/>
  <c r="N565" i="21"/>
  <c r="N566" i="21"/>
  <c r="N567" i="21"/>
  <c r="N568" i="21"/>
  <c r="N569" i="21"/>
  <c r="N570" i="21"/>
  <c r="N571" i="21"/>
  <c r="N572" i="21"/>
  <c r="N573" i="21"/>
  <c r="N574" i="21"/>
  <c r="N575" i="21"/>
  <c r="N576" i="21"/>
  <c r="N577" i="21"/>
  <c r="N578" i="21"/>
  <c r="N579" i="21"/>
  <c r="N580" i="21"/>
  <c r="N519" i="21"/>
  <c r="L630" i="21"/>
  <c r="L629" i="21"/>
  <c r="L628" i="21"/>
  <c r="L627" i="21"/>
  <c r="L626" i="21"/>
  <c r="L625" i="21"/>
  <c r="L624" i="21"/>
  <c r="L623" i="21"/>
  <c r="L622" i="21"/>
  <c r="L621" i="21"/>
  <c r="L620" i="21"/>
  <c r="L619" i="21"/>
  <c r="L618" i="21"/>
  <c r="L617" i="21"/>
  <c r="L616" i="21"/>
  <c r="L615" i="21"/>
  <c r="L614" i="21"/>
  <c r="L613" i="21"/>
  <c r="L612" i="21"/>
  <c r="L611" i="21"/>
  <c r="L610" i="21"/>
  <c r="L609" i="21"/>
  <c r="L608" i="21"/>
  <c r="L607" i="21"/>
  <c r="L606" i="21"/>
  <c r="L605" i="21"/>
  <c r="L604" i="21"/>
  <c r="L603" i="21"/>
  <c r="L602" i="21"/>
  <c r="L601" i="21"/>
  <c r="L600" i="21"/>
  <c r="L599" i="21"/>
  <c r="L598" i="21"/>
  <c r="L597" i="21"/>
  <c r="L596" i="21"/>
  <c r="L595" i="21"/>
  <c r="L594" i="21"/>
  <c r="L593" i="21"/>
  <c r="L592" i="21"/>
  <c r="L591" i="21"/>
  <c r="L590" i="21"/>
  <c r="L589" i="21"/>
  <c r="L588" i="21"/>
  <c r="L587" i="21"/>
  <c r="L586" i="21"/>
  <c r="L585" i="21"/>
  <c r="L584" i="21"/>
  <c r="L583" i="21"/>
  <c r="L527" i="21"/>
  <c r="L528" i="21"/>
  <c r="L529" i="21"/>
  <c r="L530" i="21"/>
  <c r="L531" i="21"/>
  <c r="L532" i="21"/>
  <c r="L533" i="21"/>
  <c r="L534" i="21"/>
  <c r="L535" i="21"/>
  <c r="L536" i="21"/>
  <c r="L537" i="21"/>
  <c r="L538" i="21"/>
  <c r="L539" i="21"/>
  <c r="L540" i="21"/>
  <c r="L541" i="21"/>
  <c r="L542" i="21"/>
  <c r="L545" i="21"/>
  <c r="L546" i="21"/>
  <c r="L547" i="21"/>
  <c r="L548" i="21"/>
  <c r="L549" i="21"/>
  <c r="L550" i="21"/>
  <c r="L551" i="21"/>
  <c r="L552" i="21"/>
  <c r="R552" i="21" s="1"/>
  <c r="L553" i="21"/>
  <c r="L554" i="21"/>
  <c r="L555" i="21"/>
  <c r="L556" i="21"/>
  <c r="L557" i="21"/>
  <c r="L558" i="21"/>
  <c r="L559" i="21"/>
  <c r="L560" i="21"/>
  <c r="L561" i="21"/>
  <c r="R561" i="21" s="1"/>
  <c r="L562" i="21"/>
  <c r="R562" i="21" s="1"/>
  <c r="L563" i="21"/>
  <c r="L564" i="21"/>
  <c r="L565" i="21"/>
  <c r="L566" i="21"/>
  <c r="L567" i="21"/>
  <c r="L568" i="21"/>
  <c r="L569" i="21"/>
  <c r="L570" i="21"/>
  <c r="L571" i="21"/>
  <c r="L572" i="21"/>
  <c r="L573" i="21"/>
  <c r="L574" i="21"/>
  <c r="R574" i="21" s="1"/>
  <c r="L575" i="21"/>
  <c r="L576" i="21"/>
  <c r="R576" i="21" s="1"/>
  <c r="L577" i="21"/>
  <c r="R577" i="21" s="1"/>
  <c r="L578" i="21"/>
  <c r="R578" i="21" s="1"/>
  <c r="L579" i="21"/>
  <c r="L580" i="21"/>
  <c r="M588" i="21"/>
  <c r="M589" i="21"/>
  <c r="M590" i="21"/>
  <c r="M587" i="21"/>
  <c r="M584" i="21"/>
  <c r="M585" i="21"/>
  <c r="M586" i="21"/>
  <c r="M583" i="21"/>
  <c r="I582" i="21"/>
  <c r="R582" i="21" s="1"/>
  <c r="I581" i="21"/>
  <c r="R581" i="21" s="1"/>
  <c r="O580" i="21"/>
  <c r="O579" i="21"/>
  <c r="O578" i="21"/>
  <c r="O577" i="21"/>
  <c r="O576" i="21"/>
  <c r="O575" i="21"/>
  <c r="O574" i="21"/>
  <c r="O573" i="21"/>
  <c r="M570" i="21"/>
  <c r="M571" i="21"/>
  <c r="M572" i="21"/>
  <c r="M569" i="21"/>
  <c r="M566" i="21"/>
  <c r="M567" i="21"/>
  <c r="M568" i="21"/>
  <c r="M565" i="21"/>
  <c r="O566" i="21"/>
  <c r="L520" i="21"/>
  <c r="L523" i="21"/>
  <c r="L524" i="21"/>
  <c r="L521" i="21"/>
  <c r="L522" i="21"/>
  <c r="L525" i="21"/>
  <c r="L526" i="21"/>
  <c r="L519" i="21"/>
  <c r="M168" i="21"/>
  <c r="L168" i="21"/>
  <c r="M167" i="21"/>
  <c r="L167" i="21"/>
  <c r="M170" i="21"/>
  <c r="L170" i="21"/>
  <c r="M169" i="21"/>
  <c r="L169" i="21"/>
  <c r="O571" i="21" l="1"/>
  <c r="R571" i="21"/>
  <c r="O583" i="21"/>
  <c r="R583" i="21"/>
  <c r="R169" i="21"/>
  <c r="O586" i="21"/>
  <c r="R586" i="21"/>
  <c r="R575" i="21"/>
  <c r="R551" i="21"/>
  <c r="R553" i="21"/>
  <c r="R522" i="21"/>
  <c r="O587" i="21"/>
  <c r="R587" i="21"/>
  <c r="O589" i="21"/>
  <c r="R589" i="21"/>
  <c r="O569" i="21"/>
  <c r="R569" i="21" s="1"/>
  <c r="O572" i="21"/>
  <c r="R572" i="21" s="1"/>
  <c r="R170" i="21"/>
  <c r="R573" i="21"/>
  <c r="O570" i="21"/>
  <c r="R570" i="21" s="1"/>
  <c r="O590" i="21"/>
  <c r="R590" i="21"/>
  <c r="O565" i="21"/>
  <c r="R565" i="21"/>
  <c r="R558" i="21"/>
  <c r="R168" i="21"/>
  <c r="O568" i="21"/>
  <c r="R568" i="21"/>
  <c r="O588" i="21"/>
  <c r="R588" i="21"/>
  <c r="R545" i="21"/>
  <c r="O585" i="21"/>
  <c r="R585" i="21"/>
  <c r="R533" i="21"/>
  <c r="O567" i="21"/>
  <c r="R567" i="21"/>
  <c r="R580" i="21"/>
  <c r="R542" i="21"/>
  <c r="R523" i="21"/>
  <c r="O584" i="21"/>
  <c r="R584" i="21"/>
  <c r="R560" i="21"/>
  <c r="R566" i="21"/>
  <c r="R579" i="21"/>
  <c r="R541" i="21"/>
  <c r="M630" i="21"/>
  <c r="M629" i="21"/>
  <c r="M628" i="21"/>
  <c r="M627" i="21"/>
  <c r="M626" i="21"/>
  <c r="M625" i="21"/>
  <c r="M624" i="21"/>
  <c r="M623" i="21"/>
  <c r="M622" i="21"/>
  <c r="M621" i="21"/>
  <c r="M620" i="21"/>
  <c r="M619" i="21"/>
  <c r="M618" i="21"/>
  <c r="M617" i="21"/>
  <c r="M616" i="21"/>
  <c r="M615" i="21"/>
  <c r="M614" i="21"/>
  <c r="M613" i="21"/>
  <c r="M612" i="21"/>
  <c r="M611" i="21"/>
  <c r="M610" i="21"/>
  <c r="M609" i="21"/>
  <c r="M608" i="21"/>
  <c r="M607" i="21"/>
  <c r="M606" i="21"/>
  <c r="M605" i="21"/>
  <c r="M604" i="21"/>
  <c r="M603" i="21"/>
  <c r="M602" i="21"/>
  <c r="M601" i="21"/>
  <c r="M600" i="21"/>
  <c r="M599" i="21"/>
  <c r="M598" i="21"/>
  <c r="M597" i="21"/>
  <c r="M596" i="21"/>
  <c r="M595" i="21"/>
  <c r="M594" i="21"/>
  <c r="M593" i="21"/>
  <c r="M592" i="21"/>
  <c r="M591" i="21"/>
  <c r="O564" i="21"/>
  <c r="R564" i="21" s="1"/>
  <c r="O563" i="21"/>
  <c r="R563" i="21" s="1"/>
  <c r="O560" i="21"/>
  <c r="O559" i="21"/>
  <c r="R559" i="21" s="1"/>
  <c r="O558" i="21"/>
  <c r="O557" i="21"/>
  <c r="R557" i="21" s="1"/>
  <c r="O556" i="21"/>
  <c r="R556" i="21" s="1"/>
  <c r="O555" i="21"/>
  <c r="R555" i="21" s="1"/>
  <c r="O554" i="21"/>
  <c r="R554" i="21" s="1"/>
  <c r="O553" i="21"/>
  <c r="O550" i="21"/>
  <c r="R550" i="21" s="1"/>
  <c r="O549" i="21"/>
  <c r="R549" i="21" s="1"/>
  <c r="O548" i="21"/>
  <c r="R548" i="21" s="1"/>
  <c r="O547" i="21"/>
  <c r="R547" i="21" s="1"/>
  <c r="O546" i="21"/>
  <c r="R546" i="21" s="1"/>
  <c r="O545" i="21"/>
  <c r="O542" i="21"/>
  <c r="O541" i="21"/>
  <c r="O540" i="21"/>
  <c r="R540" i="21" s="1"/>
  <c r="O539" i="21"/>
  <c r="R539" i="21" s="1"/>
  <c r="O538" i="21"/>
  <c r="R538" i="21" s="1"/>
  <c r="O537" i="21"/>
  <c r="R537" i="21" s="1"/>
  <c r="O536" i="21"/>
  <c r="R536" i="21" s="1"/>
  <c r="O535" i="21"/>
  <c r="R535" i="21" s="1"/>
  <c r="O534" i="21"/>
  <c r="R534" i="21" s="1"/>
  <c r="O533" i="21"/>
  <c r="O532" i="21"/>
  <c r="R532" i="21" s="1"/>
  <c r="O531" i="21"/>
  <c r="R531" i="21" s="1"/>
  <c r="O530" i="21"/>
  <c r="R530" i="21" s="1"/>
  <c r="O529" i="21"/>
  <c r="R529" i="21" s="1"/>
  <c r="O528" i="21"/>
  <c r="R528" i="21" s="1"/>
  <c r="O527" i="21"/>
  <c r="R527" i="21" s="1"/>
  <c r="O526" i="21"/>
  <c r="R526" i="21" s="1"/>
  <c r="O525" i="21"/>
  <c r="R525" i="21" s="1"/>
  <c r="O522" i="21"/>
  <c r="O521" i="21"/>
  <c r="R521" i="21" s="1"/>
  <c r="O524" i="21"/>
  <c r="R524" i="21" s="1"/>
  <c r="O523" i="21"/>
  <c r="O520" i="21"/>
  <c r="R520" i="21" s="1"/>
  <c r="O519" i="21"/>
  <c r="R519" i="21" s="1"/>
  <c r="R518" i="21"/>
  <c r="O592" i="21" l="1"/>
  <c r="R592" i="21" s="1"/>
  <c r="O604" i="21"/>
  <c r="R604" i="21"/>
  <c r="O603" i="21"/>
  <c r="R603" i="21"/>
  <c r="R615" i="21"/>
  <c r="O593" i="21"/>
  <c r="R593" i="21" s="1"/>
  <c r="O605" i="21"/>
  <c r="R605" i="21" s="1"/>
  <c r="O602" i="21"/>
  <c r="R602" i="21" s="1"/>
  <c r="O591" i="21"/>
  <c r="R591" i="21"/>
  <c r="O594" i="21"/>
  <c r="R594" i="21"/>
  <c r="O606" i="21"/>
  <c r="R606" i="21" s="1"/>
  <c r="O595" i="21"/>
  <c r="R595" i="21"/>
  <c r="O607" i="21"/>
  <c r="R607" i="21" s="1"/>
  <c r="R619" i="21"/>
  <c r="O597" i="21"/>
  <c r="R597" i="21"/>
  <c r="O609" i="21"/>
  <c r="R609" i="21"/>
  <c r="O596" i="21"/>
  <c r="R596" i="21" s="1"/>
  <c r="O598" i="21"/>
  <c r="R598" i="21"/>
  <c r="O610" i="21"/>
  <c r="R610" i="21" s="1"/>
  <c r="O622" i="21"/>
  <c r="R622" i="21"/>
  <c r="R620" i="21"/>
  <c r="O599" i="21"/>
  <c r="R599" i="21"/>
  <c r="O611" i="21"/>
  <c r="R611" i="21" s="1"/>
  <c r="O600" i="21"/>
  <c r="R600" i="21"/>
  <c r="O608" i="21"/>
  <c r="R608" i="21"/>
  <c r="R612" i="21"/>
  <c r="O601" i="21"/>
  <c r="R601" i="21"/>
  <c r="O613" i="21"/>
  <c r="R613" i="21"/>
  <c r="O615" i="21"/>
  <c r="O619" i="21"/>
  <c r="O625" i="21"/>
  <c r="R625" i="21" s="1"/>
  <c r="O626" i="21"/>
  <c r="R626" i="21" s="1"/>
  <c r="O629" i="21"/>
  <c r="R629" i="21" s="1"/>
  <c r="O617" i="21"/>
  <c r="R617" i="21" s="1"/>
  <c r="O623" i="21"/>
  <c r="R623" i="21" s="1"/>
  <c r="O627" i="21"/>
  <c r="R627" i="21" s="1"/>
  <c r="O616" i="21"/>
  <c r="R616" i="21" s="1"/>
  <c r="O620" i="21"/>
  <c r="O612" i="21"/>
  <c r="O614" i="21"/>
  <c r="R614" i="21" s="1"/>
  <c r="O618" i="21"/>
  <c r="R618" i="21" s="1"/>
  <c r="O621" i="21"/>
  <c r="R621" i="21" s="1"/>
  <c r="O630" i="21"/>
  <c r="R630" i="21" s="1"/>
  <c r="O624" i="21"/>
  <c r="R624" i="21" s="1"/>
  <c r="O628" i="21"/>
  <c r="R628" i="21" s="1"/>
  <c r="N96" i="12"/>
  <c r="M96" i="12"/>
  <c r="L96" i="12"/>
  <c r="N95" i="12"/>
  <c r="M95" i="12"/>
  <c r="O95" i="12" s="1"/>
  <c r="L95" i="12"/>
  <c r="R95" i="12" s="1"/>
  <c r="N94" i="12"/>
  <c r="M94" i="12"/>
  <c r="O94" i="12" s="1"/>
  <c r="R94" i="12" s="1"/>
  <c r="L94" i="12"/>
  <c r="N93" i="12"/>
  <c r="M93" i="12"/>
  <c r="O93" i="12" s="1"/>
  <c r="L93" i="12"/>
  <c r="R93" i="12" s="1"/>
  <c r="O96" i="12" l="1"/>
  <c r="R96" i="12" s="1"/>
  <c r="M417" i="21"/>
  <c r="M416" i="21"/>
  <c r="M415" i="21"/>
  <c r="M414" i="21"/>
  <c r="O414" i="21" l="1"/>
  <c r="O416" i="21"/>
  <c r="M166" i="21"/>
  <c r="M165" i="21"/>
  <c r="M164" i="21"/>
  <c r="R164" i="21" s="1"/>
  <c r="M163" i="21"/>
  <c r="L166" i="21"/>
  <c r="L165" i="21"/>
  <c r="L164" i="21"/>
  <c r="L163" i="21"/>
  <c r="R165" i="21" l="1"/>
  <c r="R166" i="21"/>
  <c r="A11" i="21"/>
  <c r="M273" i="21" l="1"/>
  <c r="M272" i="21"/>
  <c r="M440" i="21"/>
  <c r="M441" i="21"/>
  <c r="M438" i="21"/>
  <c r="M437" i="21"/>
  <c r="C52" i="21" l="1"/>
  <c r="C51" i="21"/>
  <c r="C55" i="21" l="1"/>
  <c r="C56" i="21"/>
  <c r="C54" i="21"/>
  <c r="C53" i="21"/>
  <c r="N467" i="21"/>
  <c r="N466" i="21"/>
  <c r="N465" i="21"/>
  <c r="L467" i="21"/>
  <c r="L466" i="21"/>
  <c r="L465" i="21"/>
  <c r="R465" i="21" s="1"/>
  <c r="O467" i="21"/>
  <c r="O466" i="21"/>
  <c r="O465" i="21"/>
  <c r="R467" i="21" l="1"/>
  <c r="R466" i="21"/>
  <c r="N407" i="21"/>
  <c r="N406" i="21"/>
  <c r="L407" i="21"/>
  <c r="L406" i="21"/>
  <c r="N441" i="21"/>
  <c r="N440" i="21"/>
  <c r="L441" i="21"/>
  <c r="L440" i="21"/>
  <c r="R440" i="21" s="1"/>
  <c r="N438" i="21"/>
  <c r="N437" i="21"/>
  <c r="L438" i="21"/>
  <c r="L437" i="21"/>
  <c r="O440" i="21"/>
  <c r="O438" i="21"/>
  <c r="O437" i="21"/>
  <c r="N411" i="21"/>
  <c r="N410" i="21"/>
  <c r="L411" i="21"/>
  <c r="L410" i="21"/>
  <c r="M411" i="21"/>
  <c r="M410" i="21"/>
  <c r="M407" i="21"/>
  <c r="M406" i="21"/>
  <c r="M276" i="21"/>
  <c r="O276" i="21" s="1"/>
  <c r="M275" i="21"/>
  <c r="O275" i="21" s="1"/>
  <c r="N275" i="21"/>
  <c r="L275" i="21"/>
  <c r="N276" i="21"/>
  <c r="L276" i="21"/>
  <c r="O273" i="21"/>
  <c r="N273" i="21"/>
  <c r="L273" i="21"/>
  <c r="O272" i="21"/>
  <c r="N272" i="21"/>
  <c r="L272" i="21"/>
  <c r="M242" i="21"/>
  <c r="O242" i="21" s="1"/>
  <c r="M241" i="21"/>
  <c r="O241" i="21" s="1"/>
  <c r="M239" i="21"/>
  <c r="O239" i="21" s="1"/>
  <c r="M238" i="21"/>
  <c r="O238" i="21" s="1"/>
  <c r="N242" i="21"/>
  <c r="L242" i="21"/>
  <c r="N239" i="21"/>
  <c r="L239" i="21"/>
  <c r="N241" i="21"/>
  <c r="L241" i="21"/>
  <c r="N238" i="21"/>
  <c r="L238" i="21"/>
  <c r="M160" i="21"/>
  <c r="M161" i="21"/>
  <c r="M162" i="21"/>
  <c r="R162" i="21" s="1"/>
  <c r="M159" i="21"/>
  <c r="L162" i="21"/>
  <c r="L161" i="21"/>
  <c r="L160" i="21"/>
  <c r="L159" i="21"/>
  <c r="N463" i="21"/>
  <c r="O410" i="21" l="1"/>
  <c r="R410" i="21" s="1"/>
  <c r="O407" i="21"/>
  <c r="R407" i="21" s="1"/>
  <c r="R441" i="21"/>
  <c r="R161" i="21"/>
  <c r="R160" i="21"/>
  <c r="R437" i="21"/>
  <c r="O406" i="21"/>
  <c r="R406" i="21"/>
  <c r="R438" i="21"/>
  <c r="R273" i="21"/>
  <c r="O441" i="21"/>
  <c r="O411" i="21"/>
  <c r="R411" i="21" s="1"/>
  <c r="R276" i="21"/>
  <c r="R272" i="21"/>
  <c r="R275" i="21"/>
  <c r="R242" i="21"/>
  <c r="R238" i="21"/>
  <c r="R241" i="21"/>
  <c r="R239" i="21"/>
  <c r="N462" i="21"/>
  <c r="L463" i="21"/>
  <c r="L462" i="21"/>
  <c r="G464" i="21"/>
  <c r="R464" i="21" s="1"/>
  <c r="I462" i="21"/>
  <c r="R462" i="21" l="1"/>
  <c r="O213" i="21"/>
  <c r="O214" i="21"/>
  <c r="N214" i="21"/>
  <c r="N213" i="21"/>
  <c r="L214" i="21"/>
  <c r="R214" i="21" s="1"/>
  <c r="L213" i="21"/>
  <c r="R213" i="21" s="1"/>
  <c r="N471" i="21" l="1"/>
  <c r="N470" i="21"/>
  <c r="N469" i="21"/>
  <c r="N468" i="21"/>
  <c r="L471" i="21"/>
  <c r="L470" i="21"/>
  <c r="R470" i="21" s="1"/>
  <c r="L469" i="21"/>
  <c r="L468" i="21"/>
  <c r="O471" i="21"/>
  <c r="O470" i="21"/>
  <c r="O469" i="21"/>
  <c r="O468" i="21"/>
  <c r="R469" i="21" l="1"/>
  <c r="R468" i="21"/>
  <c r="R471" i="21"/>
  <c r="O228" i="21"/>
  <c r="N228" i="21"/>
  <c r="M228" i="21"/>
  <c r="L228" i="21"/>
  <c r="O227" i="21"/>
  <c r="N227" i="21"/>
  <c r="M227" i="21"/>
  <c r="L227" i="21"/>
  <c r="O226" i="21"/>
  <c r="N226" i="21"/>
  <c r="M226" i="21"/>
  <c r="L226" i="21"/>
  <c r="O225" i="21"/>
  <c r="N225" i="21"/>
  <c r="M225" i="21"/>
  <c r="L225" i="21"/>
  <c r="O206" i="21"/>
  <c r="O207" i="21"/>
  <c r="O208" i="21"/>
  <c r="O205" i="21"/>
  <c r="M206" i="21"/>
  <c r="M207" i="21"/>
  <c r="M208" i="21"/>
  <c r="M205" i="21"/>
  <c r="N208" i="21"/>
  <c r="L208" i="21"/>
  <c r="N207" i="21"/>
  <c r="L207" i="21"/>
  <c r="N206" i="21"/>
  <c r="L206" i="21"/>
  <c r="N205" i="21"/>
  <c r="L205" i="21"/>
  <c r="R227" i="21" l="1"/>
  <c r="R228" i="21"/>
  <c r="R206" i="21"/>
  <c r="R207" i="21"/>
  <c r="R225" i="21"/>
  <c r="R226" i="21"/>
  <c r="R208" i="21"/>
  <c r="R205" i="21"/>
  <c r="M92" i="12"/>
  <c r="O92" i="12" s="1"/>
  <c r="M91" i="12"/>
  <c r="O91" i="12" s="1"/>
  <c r="M89" i="12"/>
  <c r="M90" i="12"/>
  <c r="O89" i="12"/>
  <c r="O90" i="12"/>
  <c r="N92" i="12"/>
  <c r="N91" i="12"/>
  <c r="N90" i="12"/>
  <c r="N89" i="12"/>
  <c r="L92" i="12"/>
  <c r="L91" i="12"/>
  <c r="L90" i="12"/>
  <c r="L89" i="12"/>
  <c r="D92" i="12"/>
  <c r="D91" i="12"/>
  <c r="D90" i="12"/>
  <c r="D89" i="12"/>
  <c r="R89" i="12" s="1"/>
  <c r="R92" i="12" l="1"/>
  <c r="R91" i="12"/>
  <c r="R90" i="12"/>
  <c r="N507" i="21"/>
  <c r="M507" i="21"/>
  <c r="L507" i="21"/>
  <c r="N506" i="21"/>
  <c r="M506" i="21"/>
  <c r="L506" i="21"/>
  <c r="N505" i="21"/>
  <c r="M505" i="21"/>
  <c r="L505" i="21"/>
  <c r="N504" i="21"/>
  <c r="M504" i="21"/>
  <c r="L504" i="21"/>
  <c r="N503" i="21"/>
  <c r="M503" i="21"/>
  <c r="L503" i="21"/>
  <c r="N502" i="21"/>
  <c r="M502" i="21"/>
  <c r="L502" i="21"/>
  <c r="N501" i="21"/>
  <c r="M501" i="21"/>
  <c r="L501" i="21"/>
  <c r="N500" i="21"/>
  <c r="M500" i="21"/>
  <c r="L500" i="21"/>
  <c r="N499" i="21"/>
  <c r="M499" i="21"/>
  <c r="L499" i="21"/>
  <c r="N498" i="21"/>
  <c r="M498" i="21"/>
  <c r="L498" i="21"/>
  <c r="N497" i="21"/>
  <c r="M497" i="21"/>
  <c r="L497" i="21"/>
  <c r="N496" i="21"/>
  <c r="M496" i="21"/>
  <c r="L496" i="21"/>
  <c r="N495" i="21"/>
  <c r="M495" i="21"/>
  <c r="L495" i="21"/>
  <c r="N494" i="21"/>
  <c r="M494" i="21"/>
  <c r="L494" i="21"/>
  <c r="N493" i="21"/>
  <c r="M493" i="21"/>
  <c r="L493" i="21"/>
  <c r="N492" i="21"/>
  <c r="M492" i="21"/>
  <c r="L492" i="21"/>
  <c r="N491" i="21"/>
  <c r="M491" i="21"/>
  <c r="L491" i="21"/>
  <c r="N490" i="21"/>
  <c r="M490" i="21"/>
  <c r="L490" i="21"/>
  <c r="N489" i="21"/>
  <c r="M489" i="21"/>
  <c r="L489" i="21"/>
  <c r="N488" i="21"/>
  <c r="M488" i="21"/>
  <c r="L488" i="21"/>
  <c r="N487" i="21"/>
  <c r="M487" i="21"/>
  <c r="L487" i="21"/>
  <c r="N486" i="21"/>
  <c r="M486" i="21"/>
  <c r="L486" i="21"/>
  <c r="N485" i="21"/>
  <c r="M485" i="21"/>
  <c r="L485" i="21"/>
  <c r="N484" i="21"/>
  <c r="M484" i="21"/>
  <c r="L484" i="21"/>
  <c r="N483" i="21"/>
  <c r="M483" i="21"/>
  <c r="L483" i="21"/>
  <c r="N482" i="21"/>
  <c r="M482" i="21"/>
  <c r="L482" i="21"/>
  <c r="N481" i="21"/>
  <c r="M481" i="21"/>
  <c r="L481" i="21"/>
  <c r="N480" i="21"/>
  <c r="M480" i="21"/>
  <c r="L480" i="21"/>
  <c r="N479" i="21"/>
  <c r="M479" i="21"/>
  <c r="L479" i="21"/>
  <c r="N478" i="21"/>
  <c r="M478" i="21"/>
  <c r="L478" i="21"/>
  <c r="N477" i="21"/>
  <c r="M477" i="21"/>
  <c r="L477" i="21"/>
  <c r="N476" i="21"/>
  <c r="M476" i="21"/>
  <c r="L476" i="21"/>
  <c r="N475" i="21"/>
  <c r="M475" i="21"/>
  <c r="L475" i="21"/>
  <c r="N474" i="21"/>
  <c r="M474" i="21"/>
  <c r="L474" i="21"/>
  <c r="N473" i="21"/>
  <c r="M473" i="21"/>
  <c r="L473" i="21"/>
  <c r="N472" i="21"/>
  <c r="M472" i="21"/>
  <c r="L472" i="21"/>
  <c r="O477" i="21" l="1"/>
  <c r="R477" i="21"/>
  <c r="O501" i="21"/>
  <c r="R501" i="21" s="1"/>
  <c r="R489" i="21"/>
  <c r="R482" i="21"/>
  <c r="R490" i="21"/>
  <c r="R506" i="21"/>
  <c r="O475" i="21"/>
  <c r="R475" i="21"/>
  <c r="O479" i="21"/>
  <c r="R479" i="21"/>
  <c r="O483" i="21"/>
  <c r="R483" i="21" s="1"/>
  <c r="O487" i="21"/>
  <c r="R487" i="21"/>
  <c r="O491" i="21"/>
  <c r="R491" i="21"/>
  <c r="O499" i="21"/>
  <c r="R499" i="21"/>
  <c r="O503" i="21"/>
  <c r="R503" i="21"/>
  <c r="O507" i="21"/>
  <c r="R507" i="21"/>
  <c r="O495" i="21"/>
  <c r="R495" i="21"/>
  <c r="R474" i="21"/>
  <c r="O493" i="21"/>
  <c r="R493" i="21"/>
  <c r="O480" i="21"/>
  <c r="R480" i="21"/>
  <c r="O488" i="21"/>
  <c r="R488" i="21" s="1"/>
  <c r="O500" i="21"/>
  <c r="R500" i="21"/>
  <c r="O485" i="21"/>
  <c r="R485" i="21"/>
  <c r="O472" i="21"/>
  <c r="R472" i="21"/>
  <c r="O476" i="21"/>
  <c r="R476" i="21"/>
  <c r="O484" i="21"/>
  <c r="R484" i="21"/>
  <c r="O492" i="21"/>
  <c r="R492" i="21" s="1"/>
  <c r="O496" i="21"/>
  <c r="R496" i="21"/>
  <c r="O504" i="21"/>
  <c r="R504" i="21"/>
  <c r="O473" i="21"/>
  <c r="R473" i="21" s="1"/>
  <c r="O481" i="21"/>
  <c r="R481" i="21" s="1"/>
  <c r="O489" i="21"/>
  <c r="O497" i="21"/>
  <c r="R497" i="21" s="1"/>
  <c r="O505" i="21"/>
  <c r="R505" i="21" s="1"/>
  <c r="O474" i="21"/>
  <c r="O478" i="21"/>
  <c r="R478" i="21" s="1"/>
  <c r="O482" i="21"/>
  <c r="O486" i="21"/>
  <c r="R486" i="21" s="1"/>
  <c r="O490" i="21"/>
  <c r="O494" i="21"/>
  <c r="R494" i="21" s="1"/>
  <c r="O498" i="21"/>
  <c r="R498" i="21" s="1"/>
  <c r="O502" i="21"/>
  <c r="R502" i="21" s="1"/>
  <c r="O506" i="21"/>
  <c r="N508" i="21"/>
  <c r="N509" i="21"/>
  <c r="N510" i="21"/>
  <c r="N511" i="21"/>
  <c r="L508" i="21"/>
  <c r="L509" i="21"/>
  <c r="L510" i="21"/>
  <c r="L511" i="21"/>
  <c r="O511" i="21"/>
  <c r="O510" i="21"/>
  <c r="O509" i="21"/>
  <c r="O508" i="21"/>
  <c r="D88" i="12"/>
  <c r="D87" i="12"/>
  <c r="D86" i="12"/>
  <c r="D85" i="12"/>
  <c r="D84" i="12"/>
  <c r="D82" i="12"/>
  <c r="D81" i="12"/>
  <c r="D80" i="12"/>
  <c r="D79" i="12"/>
  <c r="D78" i="12"/>
  <c r="D76" i="12"/>
  <c r="D75" i="12"/>
  <c r="D74" i="12"/>
  <c r="D73" i="12"/>
  <c r="D72" i="12"/>
  <c r="D70" i="12"/>
  <c r="D69" i="12"/>
  <c r="D68" i="12"/>
  <c r="D67" i="12"/>
  <c r="D66" i="12"/>
  <c r="D83" i="12"/>
  <c r="D77" i="12"/>
  <c r="D71" i="12"/>
  <c r="D65" i="12"/>
  <c r="N88" i="12"/>
  <c r="M88" i="12"/>
  <c r="O88" i="12" s="1"/>
  <c r="L88" i="12"/>
  <c r="N87" i="12"/>
  <c r="M87" i="12"/>
  <c r="O87" i="12" s="1"/>
  <c r="L87" i="12"/>
  <c r="N86" i="12"/>
  <c r="M86" i="12"/>
  <c r="L86" i="12"/>
  <c r="N85" i="12"/>
  <c r="M85" i="12"/>
  <c r="O85" i="12" s="1"/>
  <c r="L85" i="12"/>
  <c r="N84" i="12"/>
  <c r="M84" i="12"/>
  <c r="L84" i="12"/>
  <c r="N83" i="12"/>
  <c r="M83" i="12"/>
  <c r="O83" i="12" s="1"/>
  <c r="L83" i="12"/>
  <c r="N82" i="12"/>
  <c r="M82" i="12"/>
  <c r="L82" i="12"/>
  <c r="N81" i="12"/>
  <c r="M81" i="12"/>
  <c r="O81" i="12" s="1"/>
  <c r="L81" i="12"/>
  <c r="N80" i="12"/>
  <c r="M80" i="12"/>
  <c r="L80" i="12"/>
  <c r="N79" i="12"/>
  <c r="M79" i="12"/>
  <c r="O79" i="12" s="1"/>
  <c r="L79" i="12"/>
  <c r="N78" i="12"/>
  <c r="M78" i="12"/>
  <c r="L78" i="12"/>
  <c r="N77" i="12"/>
  <c r="M77" i="12"/>
  <c r="O77" i="12" s="1"/>
  <c r="L77" i="12"/>
  <c r="N76" i="12"/>
  <c r="M76" i="12"/>
  <c r="L76" i="12"/>
  <c r="O75" i="12"/>
  <c r="N75" i="12"/>
  <c r="M75" i="12"/>
  <c r="L75" i="12"/>
  <c r="N74" i="12"/>
  <c r="M74" i="12"/>
  <c r="O74" i="12" s="1"/>
  <c r="L74" i="12"/>
  <c r="N73" i="12"/>
  <c r="M73" i="12"/>
  <c r="O73" i="12" s="1"/>
  <c r="L73" i="12"/>
  <c r="N72" i="12"/>
  <c r="M72" i="12"/>
  <c r="O72" i="12" s="1"/>
  <c r="L72" i="12"/>
  <c r="N71" i="12"/>
  <c r="M71" i="12"/>
  <c r="O71" i="12" s="1"/>
  <c r="L71" i="12"/>
  <c r="N70" i="12"/>
  <c r="M70" i="12"/>
  <c r="O70" i="12" s="1"/>
  <c r="L70" i="12"/>
  <c r="N69" i="12"/>
  <c r="M69" i="12"/>
  <c r="O69" i="12" s="1"/>
  <c r="L69" i="12"/>
  <c r="N68" i="12"/>
  <c r="M68" i="12"/>
  <c r="O68" i="12" s="1"/>
  <c r="L68" i="12"/>
  <c r="N67" i="12"/>
  <c r="M67" i="12"/>
  <c r="O67" i="12" s="1"/>
  <c r="L67" i="12"/>
  <c r="N66" i="12"/>
  <c r="M66" i="12"/>
  <c r="O66" i="12" s="1"/>
  <c r="L66" i="12"/>
  <c r="N65" i="12"/>
  <c r="M65" i="12"/>
  <c r="O65" i="12" s="1"/>
  <c r="L65" i="12"/>
  <c r="D64" i="12"/>
  <c r="D63" i="12"/>
  <c r="D62" i="12"/>
  <c r="D61" i="12"/>
  <c r="D60" i="12"/>
  <c r="D59" i="12"/>
  <c r="N64" i="12"/>
  <c r="M64" i="12"/>
  <c r="O64" i="12" s="1"/>
  <c r="L64" i="12"/>
  <c r="N63" i="12"/>
  <c r="M63" i="12"/>
  <c r="O63" i="12" s="1"/>
  <c r="L63" i="12"/>
  <c r="N62" i="12"/>
  <c r="M62" i="12"/>
  <c r="L62" i="12"/>
  <c r="N61" i="12"/>
  <c r="M61" i="12"/>
  <c r="O61" i="12" s="1"/>
  <c r="L61" i="12"/>
  <c r="N60" i="12"/>
  <c r="M60" i="12"/>
  <c r="L60" i="12"/>
  <c r="N59" i="12"/>
  <c r="M59" i="12"/>
  <c r="O59" i="12" s="1"/>
  <c r="L59" i="12"/>
  <c r="D58" i="12"/>
  <c r="D57" i="12"/>
  <c r="D56" i="12"/>
  <c r="D55" i="12"/>
  <c r="D54" i="12"/>
  <c r="D53" i="12"/>
  <c r="M54" i="12"/>
  <c r="O54" i="12" s="1"/>
  <c r="M55" i="12"/>
  <c r="O55" i="12" s="1"/>
  <c r="M56" i="12"/>
  <c r="O56" i="12" s="1"/>
  <c r="M57" i="12"/>
  <c r="O57" i="12" s="1"/>
  <c r="M58" i="12"/>
  <c r="O58" i="12" s="1"/>
  <c r="M53" i="12"/>
  <c r="O53" i="12" s="1"/>
  <c r="N58" i="12"/>
  <c r="L58" i="12"/>
  <c r="N57" i="12"/>
  <c r="L57" i="12"/>
  <c r="N56" i="12"/>
  <c r="L56" i="12"/>
  <c r="N55" i="12"/>
  <c r="L55" i="12"/>
  <c r="N54" i="12"/>
  <c r="L54" i="12"/>
  <c r="N53" i="12"/>
  <c r="L53" i="12"/>
  <c r="R511" i="21" l="1"/>
  <c r="R510" i="21"/>
  <c r="R509" i="21"/>
  <c r="R508" i="21"/>
  <c r="R83" i="12"/>
  <c r="R87" i="12"/>
  <c r="R72" i="12"/>
  <c r="R77" i="12"/>
  <c r="R65" i="12"/>
  <c r="R71" i="12"/>
  <c r="R73" i="12"/>
  <c r="R81" i="12"/>
  <c r="R66" i="12"/>
  <c r="R74" i="12"/>
  <c r="R75" i="12"/>
  <c r="R70" i="12"/>
  <c r="R85" i="12"/>
  <c r="R88" i="12"/>
  <c r="R79" i="12"/>
  <c r="R67" i="12"/>
  <c r="R69" i="12"/>
  <c r="R68" i="12"/>
  <c r="O76" i="12"/>
  <c r="R76" i="12" s="1"/>
  <c r="O78" i="12"/>
  <c r="R78" i="12" s="1"/>
  <c r="O80" i="12"/>
  <c r="R80" i="12" s="1"/>
  <c r="O82" i="12"/>
  <c r="R82" i="12" s="1"/>
  <c r="O84" i="12"/>
  <c r="R84" i="12" s="1"/>
  <c r="O86" i="12"/>
  <c r="R86" i="12" s="1"/>
  <c r="R54" i="12"/>
  <c r="R64" i="12"/>
  <c r="R61" i="12"/>
  <c r="R63" i="12"/>
  <c r="R53" i="12"/>
  <c r="R59" i="12"/>
  <c r="O60" i="12"/>
  <c r="R60" i="12" s="1"/>
  <c r="O62" i="12"/>
  <c r="R62" i="12" s="1"/>
  <c r="R56" i="12"/>
  <c r="R57" i="12"/>
  <c r="R55" i="12"/>
  <c r="R58" i="12"/>
  <c r="R294" i="21"/>
  <c r="N293" i="21" l="1"/>
  <c r="L293" i="21"/>
  <c r="N292" i="21"/>
  <c r="L292" i="21"/>
  <c r="R292" i="21" l="1"/>
  <c r="O349" i="21" l="1"/>
  <c r="O348" i="21"/>
  <c r="O347" i="21"/>
  <c r="O346" i="21"/>
  <c r="O345" i="21"/>
  <c r="O344" i="21"/>
  <c r="N349" i="21"/>
  <c r="N348" i="21"/>
  <c r="N347" i="21"/>
  <c r="N346" i="21"/>
  <c r="N345" i="21"/>
  <c r="N344" i="21"/>
  <c r="L349" i="21"/>
  <c r="L348" i="21"/>
  <c r="L347" i="21"/>
  <c r="L346" i="21"/>
  <c r="L345" i="21"/>
  <c r="L344" i="21"/>
  <c r="C157" i="21"/>
  <c r="R157" i="21" s="1"/>
  <c r="C158" i="21"/>
  <c r="R158" i="21" s="1"/>
  <c r="O343" i="21"/>
  <c r="O342" i="21"/>
  <c r="N343" i="21"/>
  <c r="N342" i="21"/>
  <c r="N341" i="21"/>
  <c r="N340" i="21"/>
  <c r="L343" i="21"/>
  <c r="L342" i="21"/>
  <c r="R346" i="21" l="1"/>
  <c r="R342" i="21"/>
  <c r="R343" i="21"/>
  <c r="R347" i="21"/>
  <c r="R344" i="21"/>
  <c r="R348" i="21"/>
  <c r="R345" i="21"/>
  <c r="R349" i="21"/>
  <c r="C156" i="21"/>
  <c r="R156" i="21" s="1"/>
  <c r="C155" i="21"/>
  <c r="R155" i="21" s="1"/>
  <c r="C154" i="21"/>
  <c r="R154" i="21" s="1"/>
  <c r="C153" i="21"/>
  <c r="R153" i="21" s="1"/>
  <c r="C11" i="21" l="1"/>
  <c r="R11" i="21" s="1"/>
  <c r="C12" i="21"/>
  <c r="R12" i="21" s="1"/>
  <c r="C13" i="21"/>
  <c r="R13" i="21" s="1"/>
  <c r="N339" i="21" l="1"/>
  <c r="N338" i="21"/>
  <c r="N337" i="21"/>
  <c r="O341" i="21"/>
  <c r="O340" i="21"/>
  <c r="O338" i="21"/>
  <c r="O339" i="21"/>
  <c r="L341" i="21"/>
  <c r="R341" i="21" s="1"/>
  <c r="L340" i="21"/>
  <c r="R340" i="21" s="1"/>
  <c r="L339" i="21"/>
  <c r="L338" i="21"/>
  <c r="R338" i="21" l="1"/>
  <c r="R339" i="21"/>
  <c r="C118" i="21"/>
  <c r="R118" i="21" s="1"/>
  <c r="C119" i="21"/>
  <c r="R119" i="21" s="1"/>
  <c r="C120" i="21"/>
  <c r="R120" i="21" s="1"/>
  <c r="C121" i="21"/>
  <c r="R121" i="21" s="1"/>
  <c r="C122" i="21"/>
  <c r="R122" i="21" s="1"/>
  <c r="C123" i="21"/>
  <c r="R123" i="21" s="1"/>
  <c r="C124" i="21"/>
  <c r="R124" i="21" s="1"/>
  <c r="C125" i="21"/>
  <c r="R125" i="21" s="1"/>
  <c r="C126" i="21"/>
  <c r="R126" i="21" s="1"/>
  <c r="C127" i="21"/>
  <c r="R127" i="21" s="1"/>
  <c r="C128" i="21"/>
  <c r="R128" i="21" s="1"/>
  <c r="C129" i="21"/>
  <c r="R129" i="21" s="1"/>
  <c r="C130" i="21"/>
  <c r="R130" i="21" s="1"/>
  <c r="C131" i="21"/>
  <c r="R131" i="21" s="1"/>
  <c r="C132" i="21"/>
  <c r="R132" i="21" s="1"/>
  <c r="C133" i="21"/>
  <c r="R133" i="21" s="1"/>
  <c r="C134" i="21"/>
  <c r="R134" i="21" s="1"/>
  <c r="C135" i="21"/>
  <c r="R135" i="21" s="1"/>
  <c r="C136" i="21"/>
  <c r="R136" i="21" s="1"/>
  <c r="C137" i="21"/>
  <c r="R137" i="21" s="1"/>
  <c r="C138" i="21"/>
  <c r="R138" i="21" s="1"/>
  <c r="C139" i="21"/>
  <c r="R139" i="21" s="1"/>
  <c r="C140" i="21"/>
  <c r="R140" i="21" s="1"/>
  <c r="C141" i="21"/>
  <c r="R141" i="21" s="1"/>
  <c r="C142" i="21"/>
  <c r="R142" i="21" s="1"/>
  <c r="C143" i="21"/>
  <c r="R143" i="21" s="1"/>
  <c r="C144" i="21"/>
  <c r="R144" i="21" s="1"/>
  <c r="C145" i="21"/>
  <c r="R145" i="21" s="1"/>
  <c r="C146" i="21"/>
  <c r="R146" i="21" s="1"/>
  <c r="C147" i="21"/>
  <c r="R147" i="21" s="1"/>
  <c r="C148" i="21"/>
  <c r="R148" i="21" s="1"/>
  <c r="C149" i="21"/>
  <c r="R149" i="21" s="1"/>
  <c r="C150" i="21"/>
  <c r="R150" i="21" s="1"/>
  <c r="C151" i="21"/>
  <c r="R151" i="21" s="1"/>
  <c r="C152" i="21"/>
  <c r="R152" i="21" s="1"/>
  <c r="C117" i="21"/>
  <c r="R117" i="21" s="1"/>
  <c r="N290" i="21"/>
  <c r="L290" i="21"/>
  <c r="R291" i="21"/>
  <c r="N351" i="21" l="1"/>
  <c r="L351" i="21"/>
  <c r="N350" i="21"/>
  <c r="L350" i="21"/>
  <c r="R351" i="21" l="1"/>
  <c r="R350" i="21"/>
  <c r="C99" i="21"/>
  <c r="L78" i="21" l="1"/>
  <c r="R78" i="21" s="1"/>
  <c r="L77" i="21"/>
  <c r="L337" i="21" l="1"/>
  <c r="L336" i="21"/>
  <c r="L335" i="21"/>
  <c r="L334" i="21"/>
  <c r="L333" i="21"/>
  <c r="L332" i="21"/>
  <c r="L331" i="21"/>
  <c r="L330" i="21"/>
  <c r="L329" i="21"/>
  <c r="L328" i="21"/>
  <c r="L327" i="21"/>
  <c r="L326" i="21"/>
  <c r="L325" i="21"/>
  <c r="L324" i="21"/>
  <c r="L323" i="21"/>
  <c r="L322" i="21"/>
  <c r="L321" i="21"/>
  <c r="L320" i="21"/>
  <c r="L319" i="21"/>
  <c r="L318" i="21"/>
  <c r="L317" i="21"/>
  <c r="L316" i="21"/>
  <c r="L315" i="21"/>
  <c r="L314" i="21"/>
  <c r="L313" i="21"/>
  <c r="L312" i="21"/>
  <c r="L311" i="21"/>
  <c r="L310" i="21"/>
  <c r="L309" i="21"/>
  <c r="L308" i="21"/>
  <c r="L307" i="21"/>
  <c r="L306" i="21"/>
  <c r="L305" i="21"/>
  <c r="L304" i="21"/>
  <c r="L303" i="21"/>
  <c r="L302" i="21"/>
  <c r="N302" i="21"/>
  <c r="N303" i="21"/>
  <c r="N304" i="21"/>
  <c r="N305" i="21"/>
  <c r="N306" i="21"/>
  <c r="N307" i="21"/>
  <c r="N308" i="21"/>
  <c r="N309" i="21"/>
  <c r="N310" i="21"/>
  <c r="N311" i="21"/>
  <c r="N312" i="21"/>
  <c r="N313" i="21"/>
  <c r="N314" i="21"/>
  <c r="N315" i="21"/>
  <c r="N316" i="21"/>
  <c r="N317" i="21"/>
  <c r="N318" i="21"/>
  <c r="N319" i="21"/>
  <c r="N320" i="21"/>
  <c r="N321" i="21"/>
  <c r="N322" i="21"/>
  <c r="N323" i="21"/>
  <c r="N324" i="21"/>
  <c r="N325" i="21"/>
  <c r="N326" i="21"/>
  <c r="N327" i="21"/>
  <c r="N328" i="21"/>
  <c r="N329" i="21"/>
  <c r="N330" i="21"/>
  <c r="N331" i="21"/>
  <c r="N332" i="21"/>
  <c r="N333" i="21"/>
  <c r="N334" i="21"/>
  <c r="N335" i="21"/>
  <c r="N336" i="21"/>
  <c r="M337" i="21"/>
  <c r="M336" i="21"/>
  <c r="M335" i="21"/>
  <c r="M334" i="21"/>
  <c r="M333" i="21"/>
  <c r="M332" i="21"/>
  <c r="M331" i="21"/>
  <c r="M330" i="21"/>
  <c r="M329" i="21"/>
  <c r="M328" i="21"/>
  <c r="M327" i="21"/>
  <c r="M326" i="21"/>
  <c r="M325" i="21"/>
  <c r="M324" i="21"/>
  <c r="O324" i="21" s="1"/>
  <c r="M323" i="21"/>
  <c r="O323" i="21" s="1"/>
  <c r="M322" i="21"/>
  <c r="O322" i="21" s="1"/>
  <c r="M321" i="21"/>
  <c r="M320" i="21"/>
  <c r="O320" i="21" s="1"/>
  <c r="M319" i="21"/>
  <c r="M318" i="21"/>
  <c r="O318" i="21" s="1"/>
  <c r="M317" i="21"/>
  <c r="M316" i="21"/>
  <c r="O316" i="21" s="1"/>
  <c r="M315" i="21"/>
  <c r="O315" i="21" s="1"/>
  <c r="M314" i="21"/>
  <c r="O314" i="21" s="1"/>
  <c r="M313" i="21"/>
  <c r="O313" i="21" s="1"/>
  <c r="M312" i="21"/>
  <c r="O312" i="21" s="1"/>
  <c r="M311" i="21"/>
  <c r="M310" i="21"/>
  <c r="O310" i="21" s="1"/>
  <c r="M309" i="21"/>
  <c r="M308" i="21"/>
  <c r="O308" i="21" s="1"/>
  <c r="M307" i="21"/>
  <c r="O307" i="21" s="1"/>
  <c r="M306" i="21"/>
  <c r="O306" i="21" s="1"/>
  <c r="M305" i="21"/>
  <c r="M304" i="21"/>
  <c r="O304" i="21" s="1"/>
  <c r="M303" i="21"/>
  <c r="M302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375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389" i="21"/>
  <c r="L390" i="21"/>
  <c r="L391" i="21"/>
  <c r="O329" i="21" l="1"/>
  <c r="R329" i="21" s="1"/>
  <c r="O330" i="21"/>
  <c r="R330" i="21" s="1"/>
  <c r="O327" i="21"/>
  <c r="R327" i="21" s="1"/>
  <c r="O331" i="21"/>
  <c r="R331" i="21" s="1"/>
  <c r="O326" i="21"/>
  <c r="R326" i="21" s="1"/>
  <c r="O334" i="21"/>
  <c r="R334" i="21" s="1"/>
  <c r="O328" i="21"/>
  <c r="R328" i="21" s="1"/>
  <c r="O332" i="21"/>
  <c r="R332" i="21" s="1"/>
  <c r="O336" i="21"/>
  <c r="R336" i="21" s="1"/>
  <c r="R307" i="21"/>
  <c r="R315" i="21"/>
  <c r="R323" i="21"/>
  <c r="O311" i="21"/>
  <c r="R311" i="21" s="1"/>
  <c r="O335" i="21"/>
  <c r="R335" i="21" s="1"/>
  <c r="O319" i="21"/>
  <c r="R319" i="21" s="1"/>
  <c r="O303" i="21"/>
  <c r="R303" i="21" s="1"/>
  <c r="R306" i="21"/>
  <c r="R314" i="21"/>
  <c r="R322" i="21"/>
  <c r="O302" i="21"/>
  <c r="R302" i="21" s="1"/>
  <c r="R313" i="21"/>
  <c r="O337" i="21"/>
  <c r="R337" i="21" s="1"/>
  <c r="O333" i="21"/>
  <c r="R333" i="21" s="1"/>
  <c r="O325" i="21"/>
  <c r="R325" i="21" s="1"/>
  <c r="O321" i="21"/>
  <c r="R321" i="21" s="1"/>
  <c r="O317" i="21"/>
  <c r="R317" i="21" s="1"/>
  <c r="O309" i="21"/>
  <c r="R309" i="21" s="1"/>
  <c r="O305" i="21"/>
  <c r="R305" i="21" s="1"/>
  <c r="R304" i="21"/>
  <c r="R308" i="21"/>
  <c r="R312" i="21"/>
  <c r="R316" i="21"/>
  <c r="R320" i="21"/>
  <c r="R324" i="21"/>
  <c r="R310" i="21"/>
  <c r="R318" i="21"/>
  <c r="C113" i="21"/>
  <c r="R113" i="21" s="1"/>
  <c r="C114" i="21"/>
  <c r="R114" i="21" s="1"/>
  <c r="C89" i="21"/>
  <c r="C90" i="21"/>
  <c r="C91" i="21"/>
  <c r="C92" i="21"/>
  <c r="C20" i="21"/>
  <c r="R20" i="21" s="1"/>
  <c r="C21" i="21"/>
  <c r="R21" i="21" s="1"/>
  <c r="C22" i="21"/>
  <c r="R22" i="21" s="1"/>
  <c r="C23" i="21"/>
  <c r="R23" i="21" s="1"/>
  <c r="C24" i="21"/>
  <c r="R24" i="21" s="1"/>
  <c r="C25" i="21"/>
  <c r="R25" i="21" s="1"/>
  <c r="C26" i="21"/>
  <c r="R26" i="21" s="1"/>
  <c r="C14" i="21"/>
  <c r="R14" i="21" s="1"/>
  <c r="C115" i="21" l="1"/>
  <c r="R115" i="21" s="1"/>
  <c r="C116" i="21"/>
  <c r="R116" i="21" s="1"/>
  <c r="O301" i="21"/>
  <c r="O300" i="21"/>
  <c r="N298" i="21"/>
  <c r="N299" i="21"/>
  <c r="N300" i="21"/>
  <c r="N301" i="21"/>
  <c r="O299" i="21"/>
  <c r="O298" i="21"/>
  <c r="L301" i="21"/>
  <c r="L300" i="21"/>
  <c r="L299" i="21"/>
  <c r="L298" i="21"/>
  <c r="R300" i="21" l="1"/>
  <c r="R301" i="21"/>
  <c r="R298" i="21"/>
  <c r="R299" i="21"/>
  <c r="C106" i="21"/>
  <c r="R106" i="21" s="1"/>
  <c r="C107" i="21"/>
  <c r="R107" i="21" s="1"/>
  <c r="C19" i="21"/>
  <c r="R19" i="21" s="1"/>
  <c r="C98" i="21"/>
  <c r="R98" i="21" s="1"/>
  <c r="C97" i="21"/>
  <c r="R97" i="21" s="1"/>
  <c r="C102" i="21"/>
  <c r="C100" i="21"/>
  <c r="C101" i="21"/>
  <c r="C105" i="21"/>
  <c r="R105" i="21" s="1"/>
  <c r="C104" i="21"/>
  <c r="R104" i="21" s="1"/>
  <c r="C110" i="21"/>
  <c r="R110" i="21" s="1"/>
  <c r="C111" i="21"/>
  <c r="R111" i="21" s="1"/>
  <c r="C112" i="21"/>
  <c r="R112" i="21" s="1"/>
  <c r="L62" i="21" l="1"/>
  <c r="R62" i="21" s="1"/>
  <c r="L61" i="21"/>
  <c r="L19" i="21" l="1"/>
  <c r="L20" i="21"/>
  <c r="L21" i="21"/>
  <c r="L22" i="21"/>
  <c r="L23" i="21"/>
  <c r="L24" i="21"/>
  <c r="L25" i="21"/>
  <c r="L26" i="21"/>
  <c r="I286" i="21"/>
  <c r="R286" i="21" s="1"/>
  <c r="I285" i="21"/>
  <c r="R285" i="21" s="1"/>
  <c r="I460" i="21"/>
  <c r="R460" i="21" s="1"/>
  <c r="I461" i="21"/>
  <c r="R461" i="21" s="1"/>
  <c r="N459" i="21"/>
  <c r="N458" i="21"/>
  <c r="N457" i="21"/>
  <c r="N456" i="21"/>
  <c r="N455" i="21"/>
  <c r="N454" i="21"/>
  <c r="N453" i="21"/>
  <c r="N452" i="21"/>
  <c r="N451" i="21"/>
  <c r="N450" i="21"/>
  <c r="N448" i="21"/>
  <c r="N446" i="21"/>
  <c r="N445" i="21"/>
  <c r="N444" i="21"/>
  <c r="N443" i="21"/>
  <c r="N442" i="21"/>
  <c r="N439" i="21"/>
  <c r="N436" i="21"/>
  <c r="N435" i="21"/>
  <c r="N434" i="21"/>
  <c r="N433" i="21"/>
  <c r="N432" i="21"/>
  <c r="N431" i="21"/>
  <c r="N430" i="21"/>
  <c r="N429" i="21"/>
  <c r="N428" i="21"/>
  <c r="N427" i="21"/>
  <c r="N426" i="21"/>
  <c r="N425" i="21"/>
  <c r="N424" i="21"/>
  <c r="N423" i="21"/>
  <c r="N422" i="21"/>
  <c r="N421" i="21"/>
  <c r="N420" i="21"/>
  <c r="N419" i="21"/>
  <c r="N418" i="21"/>
  <c r="N417" i="21"/>
  <c r="N416" i="21"/>
  <c r="N415" i="21"/>
  <c r="N414" i="21"/>
  <c r="N413" i="21"/>
  <c r="N412" i="21"/>
  <c r="N409" i="21"/>
  <c r="N405" i="21"/>
  <c r="N408" i="21"/>
  <c r="N404" i="21"/>
  <c r="N403" i="21"/>
  <c r="N402" i="21"/>
  <c r="N401" i="21"/>
  <c r="N400" i="21"/>
  <c r="N399" i="21"/>
  <c r="N398" i="21"/>
  <c r="N397" i="21"/>
  <c r="N396" i="21"/>
  <c r="N395" i="21"/>
  <c r="N394" i="21"/>
  <c r="N393" i="21"/>
  <c r="N392" i="21"/>
  <c r="N391" i="21"/>
  <c r="N390" i="21"/>
  <c r="N389" i="21"/>
  <c r="N388" i="21"/>
  <c r="N387" i="21"/>
  <c r="N386" i="21"/>
  <c r="N385" i="21"/>
  <c r="N384" i="21"/>
  <c r="N383" i="21"/>
  <c r="N382" i="21"/>
  <c r="N381" i="21"/>
  <c r="N380" i="21"/>
  <c r="N379" i="21"/>
  <c r="N378" i="21"/>
  <c r="N377" i="21"/>
  <c r="N376" i="21"/>
  <c r="N375" i="21"/>
  <c r="N374" i="21"/>
  <c r="N373" i="21"/>
  <c r="N372" i="21"/>
  <c r="N371" i="21"/>
  <c r="N370" i="21"/>
  <c r="N369" i="21"/>
  <c r="N368" i="21"/>
  <c r="N367" i="21"/>
  <c r="N366" i="21"/>
  <c r="N365" i="21"/>
  <c r="N364" i="21"/>
  <c r="N363" i="21"/>
  <c r="N362" i="21"/>
  <c r="L459" i="21"/>
  <c r="L458" i="21"/>
  <c r="L457" i="21"/>
  <c r="L456" i="21"/>
  <c r="R456" i="21" s="1"/>
  <c r="L455" i="21"/>
  <c r="R455" i="21" s="1"/>
  <c r="L454" i="21"/>
  <c r="R454" i="21" s="1"/>
  <c r="L453" i="21"/>
  <c r="R453" i="21" s="1"/>
  <c r="L452" i="21"/>
  <c r="R452" i="21" s="1"/>
  <c r="L451" i="21"/>
  <c r="L450" i="21"/>
  <c r="L449" i="21"/>
  <c r="R449" i="21" s="1"/>
  <c r="L448" i="21"/>
  <c r="L447" i="21"/>
  <c r="R447" i="21" s="1"/>
  <c r="L446" i="21"/>
  <c r="L445" i="21"/>
  <c r="L444" i="21"/>
  <c r="R444" i="21" s="1"/>
  <c r="L443" i="21"/>
  <c r="R443" i="21" s="1"/>
  <c r="L442" i="21"/>
  <c r="R442" i="21" s="1"/>
  <c r="L439" i="21"/>
  <c r="R439" i="21" s="1"/>
  <c r="L436" i="21"/>
  <c r="R436" i="21" s="1"/>
  <c r="L435" i="21"/>
  <c r="L434" i="21"/>
  <c r="L433" i="21"/>
  <c r="L432" i="21"/>
  <c r="L431" i="21"/>
  <c r="L430" i="21"/>
  <c r="L429" i="21"/>
  <c r="L428" i="21"/>
  <c r="R428" i="21" s="1"/>
  <c r="L427" i="21"/>
  <c r="R427" i="21" s="1"/>
  <c r="L426" i="21"/>
  <c r="R426" i="21" s="1"/>
  <c r="L425" i="21"/>
  <c r="R425" i="21" s="1"/>
  <c r="L424" i="21"/>
  <c r="R424" i="21" s="1"/>
  <c r="L423" i="21"/>
  <c r="L422" i="21"/>
  <c r="L421" i="21"/>
  <c r="L420" i="21"/>
  <c r="L419" i="21"/>
  <c r="L418" i="21"/>
  <c r="L417" i="21"/>
  <c r="L416" i="21"/>
  <c r="R416" i="21" s="1"/>
  <c r="L415" i="21"/>
  <c r="R415" i="21" s="1"/>
  <c r="L414" i="21"/>
  <c r="R414" i="21" s="1"/>
  <c r="L413" i="21"/>
  <c r="R413" i="21" s="1"/>
  <c r="L412" i="21"/>
  <c r="R412" i="21" s="1"/>
  <c r="L409" i="21"/>
  <c r="L405" i="21"/>
  <c r="L408" i="21"/>
  <c r="L404" i="21"/>
  <c r="L403" i="21"/>
  <c r="L402" i="21"/>
  <c r="L401" i="21"/>
  <c r="L400" i="21"/>
  <c r="R400" i="21" s="1"/>
  <c r="L399" i="21"/>
  <c r="R399" i="21" s="1"/>
  <c r="L398" i="21"/>
  <c r="R398" i="21" s="1"/>
  <c r="L397" i="21"/>
  <c r="R397" i="21" s="1"/>
  <c r="L396" i="21"/>
  <c r="R396" i="21" s="1"/>
  <c r="L395" i="21"/>
  <c r="L394" i="21"/>
  <c r="L393" i="21"/>
  <c r="L392" i="21"/>
  <c r="N297" i="21"/>
  <c r="N296" i="21"/>
  <c r="N295" i="21"/>
  <c r="N289" i="21"/>
  <c r="N288" i="21"/>
  <c r="N287" i="21"/>
  <c r="N283" i="21"/>
  <c r="N281" i="21"/>
  <c r="N280" i="21"/>
  <c r="N279" i="21"/>
  <c r="N278" i="21"/>
  <c r="N277" i="21"/>
  <c r="N274" i="21"/>
  <c r="N271" i="21"/>
  <c r="N270" i="21"/>
  <c r="N269" i="21"/>
  <c r="N268" i="21"/>
  <c r="N267" i="21"/>
  <c r="N266" i="21"/>
  <c r="N265" i="21"/>
  <c r="N264" i="21"/>
  <c r="N263" i="21"/>
  <c r="N262" i="21"/>
  <c r="N261" i="21"/>
  <c r="N260" i="21"/>
  <c r="N259" i="21"/>
  <c r="N258" i="21"/>
  <c r="N257" i="21"/>
  <c r="N256" i="21"/>
  <c r="N255" i="21"/>
  <c r="N254" i="21"/>
  <c r="N253" i="21"/>
  <c r="N252" i="21"/>
  <c r="N251" i="21"/>
  <c r="N250" i="21"/>
  <c r="N249" i="21"/>
  <c r="N248" i="21"/>
  <c r="N247" i="21"/>
  <c r="N246" i="21"/>
  <c r="N245" i="21"/>
  <c r="N244" i="21"/>
  <c r="N243" i="21"/>
  <c r="N240" i="21"/>
  <c r="N237" i="21"/>
  <c r="N236" i="21"/>
  <c r="N235" i="21"/>
  <c r="N234" i="21"/>
  <c r="N233" i="21"/>
  <c r="N232" i="21"/>
  <c r="N231" i="21"/>
  <c r="N230" i="21"/>
  <c r="N229" i="21"/>
  <c r="N224" i="21"/>
  <c r="N223" i="21"/>
  <c r="N222" i="21"/>
  <c r="N221" i="21"/>
  <c r="N220" i="21"/>
  <c r="N219" i="21"/>
  <c r="N218" i="21"/>
  <c r="N217" i="21"/>
  <c r="N216" i="21"/>
  <c r="N215" i="21"/>
  <c r="N212" i="21"/>
  <c r="N211" i="21"/>
  <c r="N210" i="21"/>
  <c r="N209" i="21"/>
  <c r="N204" i="21"/>
  <c r="N203" i="21"/>
  <c r="N202" i="21"/>
  <c r="N201" i="21"/>
  <c r="N200" i="21"/>
  <c r="N199" i="21"/>
  <c r="N198" i="21"/>
  <c r="N197" i="21"/>
  <c r="N196" i="21"/>
  <c r="N195" i="21"/>
  <c r="N194" i="21"/>
  <c r="N193" i="21"/>
  <c r="N192" i="21"/>
  <c r="N191" i="21"/>
  <c r="N190" i="21"/>
  <c r="N189" i="21"/>
  <c r="N188" i="21"/>
  <c r="N187" i="21"/>
  <c r="N186" i="21"/>
  <c r="N185" i="21"/>
  <c r="N184" i="21"/>
  <c r="N183" i="21"/>
  <c r="N182" i="21"/>
  <c r="N181" i="21"/>
  <c r="N180" i="21"/>
  <c r="N179" i="21"/>
  <c r="N178" i="21"/>
  <c r="N177" i="21"/>
  <c r="L297" i="21"/>
  <c r="L296" i="21"/>
  <c r="L295" i="21"/>
  <c r="L289" i="21"/>
  <c r="L288" i="21"/>
  <c r="L287" i="21"/>
  <c r="L284" i="21"/>
  <c r="R284" i="21" s="1"/>
  <c r="L283" i="21"/>
  <c r="L282" i="21"/>
  <c r="R282" i="21" s="1"/>
  <c r="L281" i="21"/>
  <c r="L280" i="21"/>
  <c r="L279" i="21"/>
  <c r="L278" i="21"/>
  <c r="L277" i="21"/>
  <c r="L274" i="21"/>
  <c r="L271" i="21"/>
  <c r="L270" i="21"/>
  <c r="L269" i="21"/>
  <c r="L268" i="21"/>
  <c r="L267" i="21"/>
  <c r="L266" i="21"/>
  <c r="L265" i="21"/>
  <c r="L264" i="21"/>
  <c r="L263" i="21"/>
  <c r="L262" i="21"/>
  <c r="L261" i="21"/>
  <c r="L260" i="21"/>
  <c r="L259" i="21"/>
  <c r="L258" i="21"/>
  <c r="L257" i="21"/>
  <c r="L256" i="21"/>
  <c r="L255" i="21"/>
  <c r="L254" i="21"/>
  <c r="L253" i="21"/>
  <c r="L252" i="21"/>
  <c r="L251" i="21"/>
  <c r="L250" i="21"/>
  <c r="L249" i="21"/>
  <c r="L248" i="21"/>
  <c r="L247" i="21"/>
  <c r="L246" i="21"/>
  <c r="L245" i="21"/>
  <c r="L244" i="21"/>
  <c r="L243" i="21"/>
  <c r="L240" i="21"/>
  <c r="L237" i="21"/>
  <c r="L236" i="21"/>
  <c r="L235" i="21"/>
  <c r="L234" i="21"/>
  <c r="L233" i="21"/>
  <c r="L232" i="21"/>
  <c r="L231" i="21"/>
  <c r="L230" i="21"/>
  <c r="L229" i="21"/>
  <c r="L224" i="21"/>
  <c r="L223" i="21"/>
  <c r="L222" i="21"/>
  <c r="L221" i="21"/>
  <c r="L220" i="21"/>
  <c r="L219" i="21"/>
  <c r="L218" i="21"/>
  <c r="L217" i="21"/>
  <c r="L216" i="21"/>
  <c r="L215" i="21"/>
  <c r="L212" i="21"/>
  <c r="L211" i="21"/>
  <c r="L210" i="21"/>
  <c r="L209" i="21"/>
  <c r="L204" i="21"/>
  <c r="L203" i="21"/>
  <c r="L202" i="21"/>
  <c r="L201" i="21"/>
  <c r="L200" i="21"/>
  <c r="L199" i="21"/>
  <c r="L198" i="21"/>
  <c r="L197" i="21"/>
  <c r="L196" i="21"/>
  <c r="L195" i="21"/>
  <c r="L194" i="21"/>
  <c r="L193" i="21"/>
  <c r="L192" i="21"/>
  <c r="L191" i="21"/>
  <c r="L190" i="21"/>
  <c r="L189" i="21"/>
  <c r="L188" i="21"/>
  <c r="L187" i="21"/>
  <c r="L186" i="21"/>
  <c r="L185" i="21"/>
  <c r="L184" i="21"/>
  <c r="L183" i="21"/>
  <c r="L182" i="21"/>
  <c r="L181" i="21"/>
  <c r="L180" i="21"/>
  <c r="L179" i="21"/>
  <c r="L178" i="21"/>
  <c r="L177" i="21"/>
  <c r="O459" i="21"/>
  <c r="O458" i="21"/>
  <c r="O457" i="21"/>
  <c r="O456" i="21"/>
  <c r="O455" i="21"/>
  <c r="O454" i="21"/>
  <c r="O453" i="21"/>
  <c r="O452" i="21"/>
  <c r="O451" i="21"/>
  <c r="O450" i="21"/>
  <c r="O448" i="21"/>
  <c r="O446" i="21"/>
  <c r="O445" i="21"/>
  <c r="O444" i="21"/>
  <c r="O443" i="21"/>
  <c r="O442" i="21"/>
  <c r="O439" i="21"/>
  <c r="O436" i="21"/>
  <c r="O435" i="21"/>
  <c r="O434" i="21"/>
  <c r="O433" i="21"/>
  <c r="O432" i="21"/>
  <c r="O431" i="21"/>
  <c r="O430" i="21"/>
  <c r="O429" i="21"/>
  <c r="O428" i="21"/>
  <c r="O427" i="21"/>
  <c r="O426" i="21"/>
  <c r="O425" i="21"/>
  <c r="O424" i="21"/>
  <c r="O423" i="21"/>
  <c r="O422" i="21"/>
  <c r="O421" i="21"/>
  <c r="O420" i="21"/>
  <c r="O419" i="21"/>
  <c r="O418" i="21"/>
  <c r="O417" i="21"/>
  <c r="O415" i="21"/>
  <c r="O413" i="21"/>
  <c r="O412" i="21"/>
  <c r="O409" i="21"/>
  <c r="O405" i="21"/>
  <c r="O408" i="21"/>
  <c r="O404" i="21"/>
  <c r="O403" i="21"/>
  <c r="O402" i="21"/>
  <c r="O401" i="21"/>
  <c r="O400" i="21"/>
  <c r="O399" i="21"/>
  <c r="O398" i="21"/>
  <c r="O397" i="21"/>
  <c r="O396" i="21"/>
  <c r="O393" i="21"/>
  <c r="O392" i="21"/>
  <c r="O391" i="21"/>
  <c r="O390" i="21"/>
  <c r="O389" i="21"/>
  <c r="R389" i="21" s="1"/>
  <c r="O388" i="21"/>
  <c r="R388" i="21" s="1"/>
  <c r="O387" i="21"/>
  <c r="R387" i="21" s="1"/>
  <c r="O386" i="21"/>
  <c r="R386" i="21" s="1"/>
  <c r="O385" i="21"/>
  <c r="R385" i="21" s="1"/>
  <c r="O384" i="21"/>
  <c r="R384" i="21" s="1"/>
  <c r="O383" i="21"/>
  <c r="R383" i="21" s="1"/>
  <c r="O382" i="21"/>
  <c r="O381" i="21"/>
  <c r="O380" i="21"/>
  <c r="O379" i="21"/>
  <c r="O378" i="21"/>
  <c r="O377" i="21"/>
  <c r="R377" i="21" s="1"/>
  <c r="O376" i="21"/>
  <c r="R376" i="21" s="1"/>
  <c r="O375" i="21"/>
  <c r="R375" i="21" s="1"/>
  <c r="O374" i="21"/>
  <c r="R374" i="21" s="1"/>
  <c r="O373" i="21"/>
  <c r="R373" i="21" s="1"/>
  <c r="O372" i="21"/>
  <c r="R372" i="21" s="1"/>
  <c r="O371" i="21"/>
  <c r="R371" i="21" s="1"/>
  <c r="O370" i="21"/>
  <c r="O369" i="21"/>
  <c r="O368" i="21"/>
  <c r="O367" i="21"/>
  <c r="O366" i="21"/>
  <c r="O365" i="21"/>
  <c r="R365" i="21" s="1"/>
  <c r="O364" i="21"/>
  <c r="R364" i="21" s="1"/>
  <c r="O363" i="21"/>
  <c r="R363" i="21" s="1"/>
  <c r="O362" i="21"/>
  <c r="R362" i="21" s="1"/>
  <c r="R361" i="21"/>
  <c r="O297" i="21"/>
  <c r="O296" i="21"/>
  <c r="O295" i="21"/>
  <c r="O288" i="21"/>
  <c r="O287" i="21"/>
  <c r="O283" i="21"/>
  <c r="O281" i="21"/>
  <c r="O280" i="21"/>
  <c r="O279" i="21"/>
  <c r="O278" i="21"/>
  <c r="O277" i="21"/>
  <c r="O274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8" i="21"/>
  <c r="O247" i="21"/>
  <c r="O246" i="21"/>
  <c r="O245" i="21"/>
  <c r="O244" i="21"/>
  <c r="O243" i="21"/>
  <c r="O240" i="21"/>
  <c r="O237" i="21"/>
  <c r="O236" i="21"/>
  <c r="O235" i="21"/>
  <c r="O234" i="21"/>
  <c r="O233" i="21"/>
  <c r="O232" i="21"/>
  <c r="O231" i="21"/>
  <c r="O230" i="21"/>
  <c r="O229" i="21"/>
  <c r="O224" i="21"/>
  <c r="O223" i="21"/>
  <c r="O222" i="21"/>
  <c r="O221" i="21"/>
  <c r="O218" i="21"/>
  <c r="O217" i="21"/>
  <c r="O216" i="21"/>
  <c r="O215" i="21"/>
  <c r="O212" i="21"/>
  <c r="O211" i="21"/>
  <c r="O210" i="21"/>
  <c r="O209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R176" i="21"/>
  <c r="R369" i="21" l="1"/>
  <c r="R401" i="21"/>
  <c r="R417" i="21"/>
  <c r="R429" i="21"/>
  <c r="R445" i="21"/>
  <c r="R457" i="21"/>
  <c r="R367" i="21"/>
  <c r="R391" i="21"/>
  <c r="R368" i="21"/>
  <c r="R381" i="21"/>
  <c r="R370" i="21"/>
  <c r="R382" i="21"/>
  <c r="R402" i="21"/>
  <c r="R418" i="21"/>
  <c r="R430" i="21"/>
  <c r="R446" i="21"/>
  <c r="R458" i="21"/>
  <c r="R403" i="21"/>
  <c r="R419" i="21"/>
  <c r="R431" i="21"/>
  <c r="R459" i="21"/>
  <c r="R378" i="21"/>
  <c r="R379" i="21"/>
  <c r="R380" i="21"/>
  <c r="R392" i="21"/>
  <c r="R404" i="21"/>
  <c r="R420" i="21"/>
  <c r="R432" i="21"/>
  <c r="R448" i="21"/>
  <c r="R393" i="21"/>
  <c r="R408" i="21"/>
  <c r="R421" i="21"/>
  <c r="R433" i="21"/>
  <c r="R366" i="21"/>
  <c r="R390" i="21"/>
  <c r="R394" i="21"/>
  <c r="R405" i="21"/>
  <c r="R422" i="21"/>
  <c r="R434" i="21"/>
  <c r="R450" i="21"/>
  <c r="R395" i="21"/>
  <c r="R409" i="21"/>
  <c r="R423" i="21"/>
  <c r="R435" i="21"/>
  <c r="R451" i="21"/>
  <c r="R289" i="21"/>
  <c r="R179" i="21"/>
  <c r="R183" i="21"/>
  <c r="R187" i="21"/>
  <c r="R195" i="21"/>
  <c r="R199" i="21"/>
  <c r="R203" i="21"/>
  <c r="R211" i="21"/>
  <c r="R217" i="21"/>
  <c r="R191" i="21"/>
  <c r="R178" i="21"/>
  <c r="R182" i="21"/>
  <c r="R186" i="21"/>
  <c r="R190" i="21"/>
  <c r="R194" i="21"/>
  <c r="R198" i="21"/>
  <c r="R202" i="21"/>
  <c r="R210" i="21"/>
  <c r="R216" i="21"/>
  <c r="R220" i="21"/>
  <c r="R180" i="21"/>
  <c r="R184" i="21"/>
  <c r="R188" i="21"/>
  <c r="R192" i="21"/>
  <c r="R196" i="21"/>
  <c r="R200" i="21"/>
  <c r="R204" i="21"/>
  <c r="R212" i="21"/>
  <c r="R218" i="21"/>
  <c r="R295" i="21"/>
  <c r="R224" i="21"/>
  <c r="R232" i="21"/>
  <c r="R236" i="21"/>
  <c r="R244" i="21"/>
  <c r="R248" i="21"/>
  <c r="R252" i="21"/>
  <c r="R256" i="21"/>
  <c r="R260" i="21"/>
  <c r="R264" i="21"/>
  <c r="R268" i="21"/>
  <c r="R274" i="21"/>
  <c r="R280" i="21"/>
  <c r="R288" i="21"/>
  <c r="R296" i="21"/>
  <c r="R177" i="21"/>
  <c r="R181" i="21"/>
  <c r="R185" i="21"/>
  <c r="R189" i="21"/>
  <c r="R193" i="21"/>
  <c r="R197" i="21"/>
  <c r="R201" i="21"/>
  <c r="R209" i="21"/>
  <c r="R215" i="21"/>
  <c r="R221" i="21"/>
  <c r="R229" i="21"/>
  <c r="R233" i="21"/>
  <c r="R237" i="21"/>
  <c r="R245" i="21"/>
  <c r="R249" i="21"/>
  <c r="R253" i="21"/>
  <c r="R257" i="21"/>
  <c r="R261" i="21"/>
  <c r="R265" i="21"/>
  <c r="R269" i="21"/>
  <c r="R277" i="21"/>
  <c r="R281" i="21"/>
  <c r="R297" i="21"/>
  <c r="R219" i="21"/>
  <c r="R287" i="21"/>
  <c r="R222" i="21"/>
  <c r="R230" i="21"/>
  <c r="R234" i="21"/>
  <c r="R240" i="21"/>
  <c r="R246" i="21"/>
  <c r="R250" i="21"/>
  <c r="R254" i="21"/>
  <c r="R258" i="21"/>
  <c r="R262" i="21"/>
  <c r="R266" i="21"/>
  <c r="R270" i="21"/>
  <c r="R278" i="21"/>
  <c r="R283" i="21"/>
  <c r="R223" i="21"/>
  <c r="R231" i="21"/>
  <c r="R235" i="21"/>
  <c r="R243" i="21"/>
  <c r="R247" i="21"/>
  <c r="R251" i="21"/>
  <c r="R255" i="21"/>
  <c r="R259" i="21"/>
  <c r="R263" i="21"/>
  <c r="R267" i="21"/>
  <c r="R271" i="21"/>
  <c r="R279" i="21"/>
  <c r="R5" i="21"/>
  <c r="I103" i="21"/>
  <c r="R103" i="21" s="1"/>
  <c r="R8" i="21"/>
  <c r="R7" i="21"/>
  <c r="R6" i="21"/>
  <c r="L50" i="21" l="1"/>
  <c r="R50" i="21" s="1"/>
  <c r="L49" i="21"/>
  <c r="R49" i="21" s="1"/>
  <c r="L48" i="21"/>
  <c r="R48" i="21" s="1"/>
  <c r="L47" i="21"/>
  <c r="R47" i="21" s="1"/>
  <c r="L46" i="21"/>
  <c r="R46" i="21" s="1"/>
  <c r="L45" i="21"/>
  <c r="R45" i="21" s="1"/>
  <c r="L44" i="21"/>
  <c r="R44" i="21" s="1"/>
  <c r="L43" i="21"/>
  <c r="L98" i="21" l="1"/>
  <c r="L97" i="21"/>
  <c r="L64" i="21" l="1"/>
  <c r="R64" i="21" s="1"/>
  <c r="L63" i="21"/>
  <c r="L66" i="21"/>
  <c r="R66" i="21" s="1"/>
  <c r="L65" i="21"/>
  <c r="R65" i="21" s="1"/>
  <c r="L82" i="21" l="1"/>
  <c r="R82" i="21" s="1"/>
  <c r="L81" i="21"/>
  <c r="R81" i="21" s="1"/>
  <c r="L80" i="21"/>
  <c r="R80" i="21" s="1"/>
  <c r="L79" i="21"/>
  <c r="L156" i="21"/>
  <c r="L155" i="21"/>
  <c r="L154" i="21"/>
  <c r="L153" i="21"/>
  <c r="L109" i="21" l="1"/>
  <c r="R109" i="21" s="1"/>
  <c r="L108" i="21"/>
  <c r="M84" i="21" l="1"/>
  <c r="L84" i="21"/>
  <c r="R84" i="21" s="1"/>
  <c r="M83" i="21"/>
  <c r="L83" i="21"/>
  <c r="M152" i="21"/>
  <c r="L152" i="21"/>
  <c r="M151" i="21"/>
  <c r="L151" i="21"/>
  <c r="M150" i="21"/>
  <c r="L150" i="21"/>
  <c r="M149" i="21"/>
  <c r="L149" i="21"/>
  <c r="M148" i="21"/>
  <c r="L148" i="21"/>
  <c r="M147" i="21"/>
  <c r="L147" i="21"/>
  <c r="M146" i="21"/>
  <c r="L146" i="21"/>
  <c r="M145" i="21"/>
  <c r="L145" i="21"/>
  <c r="M144" i="21"/>
  <c r="L144" i="21"/>
  <c r="M143" i="21"/>
  <c r="L143" i="21"/>
  <c r="M142" i="21"/>
  <c r="L142" i="21"/>
  <c r="M141" i="21"/>
  <c r="L141" i="21"/>
  <c r="M140" i="21"/>
  <c r="L140" i="21"/>
  <c r="M139" i="21"/>
  <c r="L139" i="21"/>
  <c r="M138" i="21"/>
  <c r="L138" i="21"/>
  <c r="M137" i="21"/>
  <c r="L137" i="21"/>
  <c r="M136" i="21"/>
  <c r="L136" i="21"/>
  <c r="M135" i="21"/>
  <c r="L135" i="21"/>
  <c r="M134" i="21"/>
  <c r="L134" i="21"/>
  <c r="M133" i="21"/>
  <c r="L133" i="21"/>
  <c r="M132" i="21"/>
  <c r="L132" i="21"/>
  <c r="M131" i="21"/>
  <c r="L131" i="21"/>
  <c r="M130" i="21"/>
  <c r="L130" i="21"/>
  <c r="M129" i="21"/>
  <c r="L129" i="21"/>
  <c r="M128" i="21"/>
  <c r="L128" i="21"/>
  <c r="M127" i="21"/>
  <c r="L127" i="21"/>
  <c r="M126" i="21"/>
  <c r="L126" i="21"/>
  <c r="M125" i="21"/>
  <c r="L125" i="21"/>
  <c r="M124" i="21"/>
  <c r="L124" i="21"/>
  <c r="M123" i="21"/>
  <c r="L123" i="21"/>
  <c r="M122" i="21"/>
  <c r="L122" i="21"/>
  <c r="M121" i="21"/>
  <c r="L121" i="21"/>
  <c r="M120" i="21"/>
  <c r="L120" i="21"/>
  <c r="M119" i="21"/>
  <c r="L119" i="21"/>
  <c r="M118" i="21"/>
  <c r="L118" i="21"/>
  <c r="M117" i="21"/>
  <c r="L117" i="21"/>
  <c r="L42" i="21"/>
  <c r="R42" i="21" s="1"/>
  <c r="L41" i="21"/>
  <c r="R41" i="21" s="1"/>
  <c r="L40" i="21"/>
  <c r="R40" i="21" s="1"/>
  <c r="L39" i="21"/>
  <c r="R39" i="21" s="1"/>
  <c r="L38" i="21"/>
  <c r="R38" i="21" s="1"/>
  <c r="L35" i="21"/>
  <c r="L34" i="21"/>
  <c r="R34" i="21" s="1"/>
  <c r="L33" i="21"/>
  <c r="R33" i="21" s="1"/>
  <c r="L32" i="21"/>
  <c r="R32" i="21" s="1"/>
  <c r="L31" i="21"/>
  <c r="R31" i="21" s="1"/>
  <c r="L30" i="21"/>
  <c r="R30" i="21" s="1"/>
  <c r="L29" i="21"/>
  <c r="L37" i="21"/>
  <c r="R37" i="21" s="1"/>
  <c r="L36" i="21"/>
  <c r="R36" i="21" s="1"/>
  <c r="L18" i="21"/>
  <c r="L17" i="21"/>
  <c r="L16" i="21"/>
  <c r="L15" i="21"/>
  <c r="L88" i="21"/>
  <c r="R88" i="21" s="1"/>
  <c r="L87" i="21"/>
  <c r="R87" i="21" s="1"/>
  <c r="L86" i="21"/>
  <c r="R86" i="21" s="1"/>
  <c r="L85" i="21"/>
  <c r="L116" i="21"/>
  <c r="L115" i="21"/>
  <c r="L114" i="21"/>
  <c r="L113" i="21"/>
  <c r="L14" i="21"/>
  <c r="L13" i="21"/>
  <c r="L12" i="21"/>
  <c r="L11" i="21"/>
  <c r="L107" i="21"/>
  <c r="L106" i="21"/>
  <c r="L28" i="21"/>
  <c r="R28" i="21" s="1"/>
  <c r="L27" i="21"/>
  <c r="L92" i="21"/>
  <c r="R92" i="21" s="1"/>
  <c r="L91" i="21"/>
  <c r="R91" i="21" s="1"/>
  <c r="L90" i="21"/>
  <c r="R90" i="21" s="1"/>
  <c r="L89" i="21"/>
  <c r="L10" i="21"/>
  <c r="R10" i="21" s="1"/>
  <c r="L9" i="21"/>
  <c r="R9" i="21" s="1"/>
  <c r="L158" i="21"/>
  <c r="L157" i="21"/>
  <c r="L112" i="21"/>
  <c r="L111" i="21"/>
  <c r="L110" i="21"/>
  <c r="L96" i="21"/>
  <c r="R96" i="21" s="1"/>
  <c r="L95" i="21"/>
  <c r="R95" i="21" s="1"/>
  <c r="L94" i="21"/>
  <c r="R94" i="21" s="1"/>
  <c r="L93" i="21"/>
  <c r="L102" i="21"/>
  <c r="R102" i="21" s="1"/>
  <c r="L101" i="21"/>
  <c r="R101" i="21" s="1"/>
  <c r="L100" i="21"/>
  <c r="R100" i="21" s="1"/>
  <c r="L99" i="21"/>
  <c r="L74" i="21"/>
  <c r="L73" i="21"/>
  <c r="L72" i="21"/>
  <c r="L71" i="21"/>
  <c r="L76" i="21"/>
  <c r="L75" i="21"/>
  <c r="L70" i="21"/>
  <c r="L69" i="21"/>
  <c r="L68" i="21"/>
  <c r="L67" i="21"/>
  <c r="L105" i="21"/>
  <c r="L104" i="21"/>
  <c r="L56" i="21"/>
  <c r="R56" i="21" s="1"/>
  <c r="L55" i="21"/>
  <c r="R55" i="21" s="1"/>
  <c r="L54" i="21"/>
  <c r="R54" i="21" s="1"/>
  <c r="L53" i="21"/>
  <c r="R53" i="21" s="1"/>
  <c r="L52" i="21"/>
  <c r="R52" i="21" s="1"/>
  <c r="L51" i="21"/>
  <c r="L60" i="21"/>
  <c r="R60" i="21" s="1"/>
  <c r="L59" i="21"/>
  <c r="R59" i="21" s="1"/>
  <c r="L58" i="21"/>
  <c r="R58" i="21" s="1"/>
  <c r="L57" i="21"/>
  <c r="R57" i="21" s="1"/>
  <c r="O52" i="12" l="1"/>
  <c r="N52" i="12"/>
  <c r="L52" i="12"/>
  <c r="O51" i="12"/>
  <c r="N51" i="12"/>
  <c r="L51" i="12"/>
  <c r="L50" i="12"/>
  <c r="R50" i="12" s="1"/>
  <c r="L49" i="12"/>
  <c r="R49" i="12" s="1"/>
  <c r="O48" i="12"/>
  <c r="N48" i="12"/>
  <c r="L48" i="12"/>
  <c r="O47" i="12"/>
  <c r="N47" i="12"/>
  <c r="L47" i="12"/>
  <c r="O46" i="12"/>
  <c r="N46" i="12"/>
  <c r="L46" i="12"/>
  <c r="O45" i="12"/>
  <c r="N45" i="12"/>
  <c r="L45" i="12"/>
  <c r="O44" i="12"/>
  <c r="N44" i="12"/>
  <c r="L44" i="12"/>
  <c r="O43" i="12"/>
  <c r="N43" i="12"/>
  <c r="L43" i="12"/>
  <c r="O42" i="12"/>
  <c r="N42" i="12"/>
  <c r="L42" i="12"/>
  <c r="O41" i="12"/>
  <c r="N41" i="12"/>
  <c r="L41" i="12"/>
  <c r="O40" i="12"/>
  <c r="N40" i="12"/>
  <c r="L40" i="12"/>
  <c r="O39" i="12"/>
  <c r="N39" i="12"/>
  <c r="L39" i="12"/>
  <c r="N38" i="12"/>
  <c r="L38" i="12"/>
  <c r="N37" i="12"/>
  <c r="L37" i="12"/>
  <c r="R37" i="12" s="1"/>
  <c r="O36" i="12"/>
  <c r="N36" i="12"/>
  <c r="L36" i="12"/>
  <c r="O35" i="12"/>
  <c r="N35" i="12"/>
  <c r="L35" i="12"/>
  <c r="R35" i="12" s="1"/>
  <c r="O34" i="12"/>
  <c r="N34" i="12"/>
  <c r="L34" i="12"/>
  <c r="O33" i="12"/>
  <c r="N33" i="12"/>
  <c r="L33" i="12"/>
  <c r="O32" i="12"/>
  <c r="N32" i="12"/>
  <c r="L32" i="12"/>
  <c r="O31" i="12"/>
  <c r="N31" i="12"/>
  <c r="L31" i="12"/>
  <c r="R31" i="12" s="1"/>
  <c r="O30" i="12"/>
  <c r="N30" i="12"/>
  <c r="L30" i="12"/>
  <c r="O29" i="12"/>
  <c r="N29" i="12"/>
  <c r="L29" i="12"/>
  <c r="O28" i="12"/>
  <c r="N28" i="12"/>
  <c r="L28" i="12"/>
  <c r="O27" i="12"/>
  <c r="N27" i="12"/>
  <c r="L27" i="12"/>
  <c r="R27" i="12" s="1"/>
  <c r="O26" i="12"/>
  <c r="N26" i="12"/>
  <c r="L26" i="12"/>
  <c r="O25" i="12"/>
  <c r="N25" i="12"/>
  <c r="L25" i="12"/>
  <c r="O24" i="12"/>
  <c r="N24" i="12"/>
  <c r="L24" i="12"/>
  <c r="O23" i="12"/>
  <c r="N23" i="12"/>
  <c r="L23" i="12"/>
  <c r="R23" i="12" s="1"/>
  <c r="O22" i="12"/>
  <c r="N22" i="12"/>
  <c r="L22" i="12"/>
  <c r="O21" i="12"/>
  <c r="N21" i="12"/>
  <c r="L21" i="12"/>
  <c r="O20" i="12"/>
  <c r="N20" i="12"/>
  <c r="L20" i="12"/>
  <c r="O19" i="12"/>
  <c r="N19" i="12"/>
  <c r="L19" i="12"/>
  <c r="R19" i="12" s="1"/>
  <c r="O18" i="12"/>
  <c r="N18" i="12"/>
  <c r="L18" i="12"/>
  <c r="O17" i="12"/>
  <c r="N17" i="12"/>
  <c r="L17" i="12"/>
  <c r="O16" i="12"/>
  <c r="N16" i="12"/>
  <c r="L16" i="12"/>
  <c r="O15" i="12"/>
  <c r="N15" i="12"/>
  <c r="L15" i="12"/>
  <c r="R15" i="12" s="1"/>
  <c r="O14" i="12"/>
  <c r="N14" i="12"/>
  <c r="L14" i="12"/>
  <c r="O13" i="12"/>
  <c r="N13" i="12"/>
  <c r="L13" i="12"/>
  <c r="O12" i="12"/>
  <c r="N12" i="12"/>
  <c r="L12" i="12"/>
  <c r="O11" i="12"/>
  <c r="N11" i="12"/>
  <c r="L11" i="12"/>
  <c r="R11" i="12" s="1"/>
  <c r="O10" i="12"/>
  <c r="N10" i="12"/>
  <c r="L10" i="12"/>
  <c r="O9" i="12"/>
  <c r="N9" i="12"/>
  <c r="L9" i="12"/>
  <c r="O8" i="12"/>
  <c r="N8" i="12"/>
  <c r="L8" i="12"/>
  <c r="O7" i="12"/>
  <c r="N7" i="12"/>
  <c r="L7" i="12"/>
  <c r="R7" i="12" s="1"/>
  <c r="O6" i="12"/>
  <c r="N6" i="12"/>
  <c r="L6" i="12"/>
  <c r="O5" i="12"/>
  <c r="N5" i="12"/>
  <c r="L5" i="12"/>
  <c r="R4" i="12"/>
  <c r="R51" i="12" l="1"/>
  <c r="R39" i="12"/>
  <c r="R43" i="12"/>
  <c r="R47" i="12"/>
  <c r="R9" i="12"/>
  <c r="R17" i="12"/>
  <c r="R29" i="12"/>
  <c r="R5" i="12"/>
  <c r="R13" i="12"/>
  <c r="R21" i="12"/>
  <c r="R25" i="12"/>
  <c r="R33" i="12"/>
  <c r="R6" i="12"/>
  <c r="R10" i="12"/>
  <c r="R14" i="12"/>
  <c r="R18" i="12"/>
  <c r="R22" i="12"/>
  <c r="R26" i="12"/>
  <c r="R30" i="12"/>
  <c r="R34" i="12"/>
  <c r="R42" i="12"/>
  <c r="R46" i="12"/>
  <c r="R8" i="12"/>
  <c r="R12" i="12"/>
  <c r="R16" i="12"/>
  <c r="R20" i="12"/>
  <c r="R24" i="12"/>
  <c r="R28" i="12"/>
  <c r="R32" i="12"/>
  <c r="R36" i="12"/>
  <c r="R38" i="12"/>
  <c r="R41" i="12"/>
  <c r="R45" i="12"/>
  <c r="R40" i="12"/>
  <c r="R44" i="12"/>
  <c r="R48" i="12"/>
  <c r="R52" i="12"/>
  <c r="A104" i="21" l="1"/>
  <c r="A106" i="21" l="1"/>
  <c r="A110" i="21" s="1"/>
  <c r="A113" i="21" s="1"/>
  <c r="A117" i="21" s="1"/>
  <c r="A108" i="21"/>
  <c r="R108" i="21" s="1"/>
  <c r="A123" i="21" l="1"/>
  <c r="A141" i="21"/>
  <c r="A135" i="21"/>
  <c r="A129" i="21"/>
  <c r="A147" i="21"/>
  <c r="A153" i="21" s="1"/>
  <c r="A157" i="21" s="1"/>
  <c r="A159" i="21" s="1"/>
  <c r="R159" i="21" s="1"/>
  <c r="A163" i="21" l="1"/>
  <c r="R163" i="21" s="1"/>
  <c r="A167" i="21" l="1"/>
  <c r="R167" i="21" s="1"/>
  <c r="A99" i="21"/>
  <c r="R99" i="21" s="1"/>
  <c r="A15" i="21" l="1"/>
  <c r="A19" i="21" s="1"/>
  <c r="A27" i="21" l="1"/>
  <c r="R27" i="21" s="1"/>
  <c r="A29" i="21" l="1"/>
  <c r="R29" i="21" s="1"/>
  <c r="A35" i="21" l="1"/>
  <c r="R35" i="21" s="1"/>
  <c r="A43" i="21" l="1"/>
  <c r="A51" i="21" l="1"/>
  <c r="R43" i="21"/>
  <c r="A61" i="21" l="1"/>
  <c r="R61" i="21" s="1"/>
  <c r="R51" i="21"/>
  <c r="A63" i="21"/>
  <c r="R63" i="21" s="1"/>
  <c r="A67" i="21" l="1"/>
  <c r="R67" i="21" s="1"/>
  <c r="A77" i="21" l="1"/>
  <c r="R77" i="21" s="1"/>
  <c r="A79" i="21" l="1"/>
  <c r="A83" i="21" l="1"/>
  <c r="R83" i="21" s="1"/>
  <c r="R79" i="21"/>
  <c r="A85" i="21" l="1"/>
  <c r="A89" i="21"/>
  <c r="R89" i="21" s="1"/>
  <c r="R85" i="21"/>
  <c r="A93" i="21" l="1"/>
  <c r="R93" i="21" s="1"/>
</calcChain>
</file>

<file path=xl/sharedStrings.xml><?xml version="1.0" encoding="utf-8"?>
<sst xmlns="http://schemas.openxmlformats.org/spreadsheetml/2006/main" count="8926" uniqueCount="1477">
  <si>
    <t>}}}</t>
  </si>
  <si>
    <t>IP Load Balancer</t>
  </si>
  <si>
    <t>172.29.12.67</t>
  </si>
  <si>
    <t>IP Nodo 1</t>
  </si>
  <si>
    <t>IP Nodo 2</t>
  </si>
  <si>
    <t>172.29.12.69</t>
  </si>
  <si>
    <t>172.29.12.68</t>
  </si>
  <si>
    <t>Regla</t>
  </si>
  <si>
    <t>server</t>
  </si>
  <si>
    <t>Descripción</t>
  </si>
  <si>
    <t>MASTERCARD BNET PT In 1</t>
  </si>
  <si>
    <t>IP Origen</t>
  </si>
  <si>
    <t>IP Destino</t>
  </si>
  <si>
    <t>172.19.207.40</t>
  </si>
  <si>
    <t>client</t>
  </si>
  <si>
    <t>Puerto Destino</t>
  </si>
  <si>
    <t>MASTERCARD BNET PT In 2</t>
  </si>
  <si>
    <t>MASTERCARD MDS PT In 1</t>
  </si>
  <si>
    <t>MASTERCARD MDS PT In 2</t>
  </si>
  <si>
    <t>MASTERCARD BNET PT Out 1</t>
  </si>
  <si>
    <t>MASTERCARD MDS PT Out 1</t>
  </si>
  <si>
    <t>MASTERCARD BNET PT Out 2</t>
  </si>
  <si>
    <t>MASTERCARD MDS PT Out 2</t>
  </si>
  <si>
    <t>Nodo 1</t>
  </si>
  <si>
    <t>Nodo 2</t>
  </si>
  <si>
    <t>Puerto N1</t>
  </si>
  <si>
    <t>Puerto N2</t>
  </si>
  <si>
    <t>Modo SV</t>
  </si>
  <si>
    <t>AMEX BANCOLOMBIA EMISOR PT In 1</t>
  </si>
  <si>
    <t>AMEX BANCOLOMBIA EMISOR PT In 2</t>
  </si>
  <si>
    <t>AMEX BANCOLOMBIA ADQUIRIENTE PT In 1</t>
  </si>
  <si>
    <t>AMEX BANCOLOMBIA ADQUIRIENTE PT In 2</t>
  </si>
  <si>
    <t>AMEX COLPATRIA PT Out 1</t>
  </si>
  <si>
    <t>AMEX COLPATRIA PT Out 2</t>
  </si>
  <si>
    <t>AMEX BANCOLOMBIA EMISOR PT Out 1</t>
  </si>
  <si>
    <t>AMEX BANCOLOMBIA EMISOR PT Out 2</t>
  </si>
  <si>
    <t>AMEX BANCOLOMBIA ADQUIRIENTE PT Out 1</t>
  </si>
  <si>
    <t>AMEX BANCOLOMBIA ADQUIRIENTE PT Out 2</t>
  </si>
  <si>
    <t>RBM (B24-SV) EMISOR PT In</t>
  </si>
  <si>
    <t>RBM (B24-SV) EMISOR PT Out</t>
  </si>
  <si>
    <t>RBM (B24-SV) ADQUIRIENTE PT In</t>
  </si>
  <si>
    <t>RBM (B24-SV) ADQUIRIENTE PT Out</t>
  </si>
  <si>
    <t>RBM (SV-RBM) EMISOR PT Out</t>
  </si>
  <si>
    <t>RBM (SV-RBM) EMISOR PT In</t>
  </si>
  <si>
    <t>RBM (SV-RBM) ADQUIRIENTE PT Out</t>
  </si>
  <si>
    <t>RBM (SV-RBM) ADQUIRIENTE PT In</t>
  </si>
  <si>
    <t>172.29.10.68</t>
  </si>
  <si>
    <t>172.29.10.69</t>
  </si>
  <si>
    <t>172.29.10.70</t>
  </si>
  <si>
    <t>172.16.4.11</t>
  </si>
  <si>
    <t>10.122.133.55</t>
  </si>
  <si>
    <t>10.122.133.56</t>
  </si>
  <si>
    <t>}}},</t>
  </si>
  <si>
    <t>172.16.4.52</t>
  </si>
  <si>
    <r>
      <t>Cierre de Regla (</t>
    </r>
    <r>
      <rPr>
        <b/>
        <sz val="11"/>
        <color rgb="FFFF0000"/>
        <rFont val="Calibri"/>
        <family val="2"/>
        <scheme val="minor"/>
      </rPr>
      <t>Última regla no lleva última coma</t>
    </r>
    <r>
      <rPr>
        <b/>
        <sz val="11"/>
        <color theme="0"/>
        <rFont val="Calibri"/>
        <family val="2"/>
        <scheme val="minor"/>
      </rPr>
      <t>)</t>
    </r>
  </si>
  <si>
    <t>BHb2</t>
  </si>
  <si>
    <t>cbco</t>
  </si>
  <si>
    <t>172.17.96.1</t>
  </si>
  <si>
    <t>PID</t>
  </si>
  <si>
    <t>172.17.95.1</t>
  </si>
  <si>
    <t>10.1.3.36</t>
  </si>
  <si>
    <t>Header Externo</t>
  </si>
  <si>
    <t>Header Interno</t>
  </si>
  <si>
    <t>10.1.3.34</t>
  </si>
  <si>
    <t>Red ATM CajaSoc out 1</t>
  </si>
  <si>
    <t>Red ATM CajaSoc out 2</t>
  </si>
  <si>
    <t>Red ATM CajaSoc in 1</t>
  </si>
  <si>
    <t>Red ATM CajaSoc in 2</t>
  </si>
  <si>
    <t>Red ATM Pichinc out 1</t>
  </si>
  <si>
    <t>Red ATM Pichinc out 2</t>
  </si>
  <si>
    <t>192.168.2.130</t>
  </si>
  <si>
    <t>Red Visa Out 2</t>
  </si>
  <si>
    <t>Red Visa Out 1</t>
  </si>
  <si>
    <t>VISA (B24-SV) PT In 1</t>
  </si>
  <si>
    <t>VISA (B24-SV) PT In 2</t>
  </si>
  <si>
    <t>172.26.34.135</t>
  </si>
  <si>
    <t>10.2.74.21</t>
  </si>
  <si>
    <t>Red ATM ATH in 1</t>
  </si>
  <si>
    <t>Red ATM ATH in 2</t>
  </si>
  <si>
    <t>ROUTER</t>
  </si>
  <si>
    <t>DAVIVIEN Db 1</t>
  </si>
  <si>
    <t>DAVIVIEN Db 2</t>
  </si>
  <si>
    <t>DAVIVIEN V Db 1</t>
  </si>
  <si>
    <t>DAVIVIEN V Db 2</t>
  </si>
  <si>
    <t>DAVIVIEN DN Cr 1</t>
  </si>
  <si>
    <t>DAVIVIEN DN Cr 2</t>
  </si>
  <si>
    <t>DAVIVIEN V Cr 1</t>
  </si>
  <si>
    <t>DAVIVIEN V Cr 2</t>
  </si>
  <si>
    <t>DAVIVIEN RAPPI 1</t>
  </si>
  <si>
    <t>DAVIVIEN RAPPI 2</t>
  </si>
  <si>
    <t>10.2.34.17</t>
  </si>
  <si>
    <t>10.2.103.3</t>
  </si>
  <si>
    <t>172.29.9.67</t>
  </si>
  <si>
    <t>plugin</t>
  </si>
  <si>
    <t>slb_plugin_rm_biciso.so</t>
  </si>
  <si>
    <t>}},</t>
  </si>
  <si>
    <t>}}}},</t>
  </si>
  <si>
    <t>AV VILLAS IN 1</t>
  </si>
  <si>
    <t>AV VILLAS IN 2</t>
  </si>
  <si>
    <t>172.16.27.253</t>
  </si>
  <si>
    <t>10.2.113.19</t>
  </si>
  <si>
    <t>172.29.65.114</t>
  </si>
  <si>
    <t>Red ATM BBVA in 1</t>
  </si>
  <si>
    <t>Red ATM BBVA in 2</t>
  </si>
  <si>
    <t>Red ATM BBVA in 3</t>
  </si>
  <si>
    <t>Red ATM BBVA in 4</t>
  </si>
  <si>
    <t>BBVA CR P2C^HIS0013</t>
  </si>
  <si>
    <t>BBVA DR P2D^HISO913</t>
  </si>
  <si>
    <t>Red ATM BBVA-B2 out 1</t>
  </si>
  <si>
    <t>Red ATM BBVA-B2 out 2</t>
  </si>
  <si>
    <t>Red ATM BBVA-B2 out 3</t>
  </si>
  <si>
    <t>Red ATM BBVA-B2 out 4</t>
  </si>
  <si>
    <t>Itau In 1</t>
  </si>
  <si>
    <t>Itau In 2</t>
  </si>
  <si>
    <t>Itau Out 1</t>
  </si>
  <si>
    <t>Itau Out 2</t>
  </si>
  <si>
    <t>10.2.14.21</t>
  </si>
  <si>
    <t>juriscoop CR 1</t>
  </si>
  <si>
    <t>juriscoop CR 2</t>
  </si>
  <si>
    <t>juriscoop DR 1</t>
  </si>
  <si>
    <t>juriscoop DR 2</t>
  </si>
  <si>
    <t>10.2.4.19</t>
  </si>
  <si>
    <t>Bancolombia MC 1</t>
  </si>
  <si>
    <t>Bancolombia MC 2</t>
  </si>
  <si>
    <t>Bancolombia MC 3</t>
  </si>
  <si>
    <t>10.2.3.132</t>
  </si>
  <si>
    <t>}}}}</t>
  </si>
  <si>
    <t>Red ATM ATH out 1</t>
  </si>
  <si>
    <t>Red ATM ATH out 2</t>
  </si>
  <si>
    <t>Red ATM CBCO in 1</t>
  </si>
  <si>
    <t>Red ATM CBCO in 2</t>
  </si>
  <si>
    <t>Occident P2C^HIS9023 1</t>
  </si>
  <si>
    <t>Occident P2C^HIS9023 2</t>
  </si>
  <si>
    <t>AMEX COLPATRIA PT In 1</t>
  </si>
  <si>
    <t>AMEX COLPATRIA PT In 2</t>
  </si>
  <si>
    <t>172.19.209.58</t>
  </si>
  <si>
    <t>slb_plugin_rm_amex.so</t>
  </si>
  <si>
    <t>MASTERCARD MDS NEW PT Out 1</t>
  </si>
  <si>
    <t>MASTERCARD MDS NEW PT Out 2</t>
  </si>
  <si>
    <t>172.26.119.75</t>
  </si>
  <si>
    <t>172.26.119.76</t>
  </si>
  <si>
    <t>slb_plugin_rm_mc.so</t>
  </si>
  <si>
    <t>10.2.32.194</t>
  </si>
  <si>
    <t>Red ATM Servibanca-B24 out Nal</t>
  </si>
  <si>
    <t>Red ATM Servibanca in Nal</t>
  </si>
  <si>
    <t>Red ATM Servibanca-B24 out Int</t>
  </si>
  <si>
    <t>Red ATM Servibanca in Int</t>
  </si>
  <si>
    <t>192.168.131.6</t>
  </si>
  <si>
    <t>MC BICISO Ntwk In 1</t>
  </si>
  <si>
    <t>MC BICISO Ntwk In 2</t>
  </si>
  <si>
    <t>Red ATM Davivienda in 1</t>
  </si>
  <si>
    <t>Red ATM Davivienda-B24 out 1</t>
  </si>
  <si>
    <t>Red ATM Davivienda in 2</t>
  </si>
  <si>
    <t>Red ATM Davivienda-B24 out 2</t>
  </si>
  <si>
    <t>Visa SIM 852125(B24-SV) PT In</t>
  </si>
  <si>
    <t>Visa SIM 852125(SV-SIM) PT Out</t>
  </si>
  <si>
    <t>visa</t>
  </si>
  <si>
    <t>slb_plugin_rm_visa.so</t>
  </si>
  <si>
    <t>172.26.9.73</t>
  </si>
  <si>
    <t>Vpayment In</t>
  </si>
  <si>
    <t>Vpay (VPAY - BASE24) Out</t>
  </si>
  <si>
    <t>172.27.1.123</t>
  </si>
  <si>
    <t>172.27.1.82</t>
  </si>
  <si>
    <t>172.19.207.84</t>
  </si>
  <si>
    <t>Red ATM Colpatria out 1</t>
  </si>
  <si>
    <t>Red ATM Colpatria in 1</t>
  </si>
  <si>
    <t>Red ATM Colpatria out 2</t>
  </si>
  <si>
    <t>Red ATM Colpatria in 2</t>
  </si>
  <si>
    <t>10.2.19.18</t>
  </si>
  <si>
    <t>Red ATM Bancolo out 1</t>
  </si>
  <si>
    <t>Red ATM Bancolo in 1</t>
  </si>
  <si>
    <t>Red ATM Bancolo out 2</t>
  </si>
  <si>
    <t>Red ATM Bancolo in 2</t>
  </si>
  <si>
    <t>Red ATM Bancolo out 3</t>
  </si>
  <si>
    <t>Red ATM Bancolo in 3</t>
  </si>
  <si>
    <t>Red ATM AMXcolo out 1</t>
  </si>
  <si>
    <t>Red ATM AMXcolo in 1</t>
  </si>
  <si>
    <t>Red ATM AMXcolo out 2</t>
  </si>
  <si>
    <t>Red ATM AMXcolo in 2</t>
  </si>
  <si>
    <t>Red ATM AMXcolo out 3</t>
  </si>
  <si>
    <t>Red ATM AMXcolo in 3</t>
  </si>
  <si>
    <t>Aviatur In</t>
  </si>
  <si>
    <t>Aviatur Out</t>
  </si>
  <si>
    <t>10.90.2.66</t>
  </si>
  <si>
    <t>MPOS Verifon In 1</t>
  </si>
  <si>
    <t>MPOS Verifon Out 1</t>
  </si>
  <si>
    <t>MPOS Verifon In 2</t>
  </si>
  <si>
    <t>MPOS Verifon Out 2</t>
  </si>
  <si>
    <t>100.69.0.40</t>
  </si>
  <si>
    <t>100.69.0.32</t>
  </si>
  <si>
    <t>iPay In 1</t>
  </si>
  <si>
    <t>iPay Out 1</t>
  </si>
  <si>
    <t>10.99.77.10</t>
  </si>
  <si>
    <t>Cencosud In 1</t>
  </si>
  <si>
    <t>Cencosud In 2</t>
  </si>
  <si>
    <t>Cencosud Out 1</t>
  </si>
  <si>
    <t>Cencosud Out 2</t>
  </si>
  <si>
    <t>172.27.1.143</t>
  </si>
  <si>
    <t>PRM Proceso 1</t>
  </si>
  <si>
    <t>PRM Proceso 2</t>
  </si>
  <si>
    <t>BUS QR In 1</t>
  </si>
  <si>
    <t>BUS QR In 2</t>
  </si>
  <si>
    <t>B24 QR Out 1</t>
  </si>
  <si>
    <t>B24 QR Out 2</t>
  </si>
  <si>
    <t>10200</t>
  </si>
  <si>
    <t>10201</t>
  </si>
  <si>
    <t>10210</t>
  </si>
  <si>
    <t>10211</t>
  </si>
  <si>
    <t>0.0.0.0</t>
  </si>
  <si>
    <t>313/413</t>
  </si>
  <si>
    <t>314/414</t>
  </si>
  <si>
    <t>317/417</t>
  </si>
  <si>
    <t>318/418</t>
  </si>
  <si>
    <t>315/415</t>
  </si>
  <si>
    <t>316/416</t>
  </si>
  <si>
    <t>319/419</t>
  </si>
  <si>
    <t>320/420</t>
  </si>
  <si>
    <t>172.16.27.50</t>
  </si>
  <si>
    <t>Bancolombia AMEX (FiServ) 1</t>
  </si>
  <si>
    <t>Bancolombia AMEX (FiServ) 2</t>
  </si>
  <si>
    <t>Bancolombia VISA (FiServ) 1</t>
  </si>
  <si>
    <t>Bancolombia VISA (FiServ) 2</t>
  </si>
  <si>
    <t>10315</t>
  </si>
  <si>
    <t>10316</t>
  </si>
  <si>
    <t>10320</t>
  </si>
  <si>
    <t>10321</t>
  </si>
  <si>
    <t>10322</t>
  </si>
  <si>
    <t>10317</t>
  </si>
  <si>
    <t>10318</t>
  </si>
  <si>
    <t>172.16.4.10</t>
  </si>
  <si>
    <t>172.19.209.54</t>
  </si>
  <si>
    <t>172.19.211.101</t>
  </si>
  <si>
    <t>172.19.213.2</t>
  </si>
  <si>
    <t>172.19.213.3</t>
  </si>
  <si>
    <t>HPDH (POS - BASE24) Out 1</t>
  </si>
  <si>
    <t>HPDH (POS - BASE24) Out 2</t>
  </si>
  <si>
    <t>172.19.211.102</t>
  </si>
  <si>
    <t>Vpayment In 1</t>
  </si>
  <si>
    <t>Vpayment In 2</t>
  </si>
  <si>
    <t>Vpay (VPAY - BASE24) Out 1</t>
  </si>
  <si>
    <t>Vpay (VPAY - BASE24) Out 2</t>
  </si>
  <si>
    <t>172.19.202.220</t>
  </si>
  <si>
    <t>172.19.211.103</t>
  </si>
  <si>
    <t>Pago Automatico In 1</t>
  </si>
  <si>
    <t>Pago Automatico In 2</t>
  </si>
  <si>
    <t>PA (PA - BASE24) Out 1</t>
  </si>
  <si>
    <t>PA (PA - BASE24) Out 2</t>
  </si>
  <si>
    <t>172.19.202.212</t>
  </si>
  <si>
    <t>172.19.202.213</t>
  </si>
  <si>
    <t>10.1.3.138</t>
  </si>
  <si>
    <t>172.29.12.70</t>
  </si>
  <si>
    <t>172.29.12.71</t>
  </si>
  <si>
    <t>172.29.12.72</t>
  </si>
  <si>
    <t>Red ATM Pichinc in 1</t>
  </si>
  <si>
    <t>Red ATM Pichinc in 2</t>
  </si>
  <si>
    <t>601/603</t>
  </si>
  <si>
    <t>701/703</t>
  </si>
  <si>
    <t>801/803</t>
  </si>
  <si>
    <t>901/903</t>
  </si>
  <si>
    <t>305/405</t>
  </si>
  <si>
    <t>306/406</t>
  </si>
  <si>
    <t>308/408</t>
  </si>
  <si>
    <t>307/407</t>
  </si>
  <si>
    <t>101/103</t>
  </si>
  <si>
    <t>501/503</t>
  </si>
  <si>
    <t>102/104</t>
  </si>
  <si>
    <t>502/504</t>
  </si>
  <si>
    <t>602/604</t>
  </si>
  <si>
    <t>702/704</t>
  </si>
  <si>
    <t>802/804</t>
  </si>
  <si>
    <t>902/904</t>
  </si>
  <si>
    <t>331/431</t>
  </si>
  <si>
    <t>330/430</t>
  </si>
  <si>
    <t>332/432</t>
  </si>
  <si>
    <t>333/433</t>
  </si>
  <si>
    <t>334/434</t>
  </si>
  <si>
    <t>335/435</t>
  </si>
  <si>
    <t>336/436</t>
  </si>
  <si>
    <t>337/437</t>
  </si>
  <si>
    <t>338/438</t>
  </si>
  <si>
    <t>339/439</t>
  </si>
  <si>
    <t>340/440</t>
  </si>
  <si>
    <t>341/441</t>
  </si>
  <si>
    <t>342/442</t>
  </si>
  <si>
    <t>344/444</t>
  </si>
  <si>
    <t>345/445</t>
  </si>
  <si>
    <t>346/446</t>
  </si>
  <si>
    <t>347/447</t>
  </si>
  <si>
    <t>348/448</t>
  </si>
  <si>
    <t>350/450</t>
  </si>
  <si>
    <t>351/451</t>
  </si>
  <si>
    <t>352/452</t>
  </si>
  <si>
    <t>353/453</t>
  </si>
  <si>
    <t>354/454</t>
  </si>
  <si>
    <t>355/455</t>
  </si>
  <si>
    <t>301/401</t>
  </si>
  <si>
    <t>371/471</t>
  </si>
  <si>
    <t>302/402</t>
  </si>
  <si>
    <t>372/472</t>
  </si>
  <si>
    <t>356/456</t>
  </si>
  <si>
    <t>357/457</t>
  </si>
  <si>
    <t>10018/20018</t>
  </si>
  <si>
    <t>10019/20019</t>
  </si>
  <si>
    <t>370/470</t>
  </si>
  <si>
    <t>373/473</t>
  </si>
  <si>
    <t>377/477</t>
  </si>
  <si>
    <t>378/478</t>
  </si>
  <si>
    <t>374/474</t>
  </si>
  <si>
    <t>375/475</t>
  </si>
  <si>
    <t>376/476</t>
  </si>
  <si>
    <t>379/479</t>
  </si>
  <si>
    <t>380/480</t>
  </si>
  <si>
    <t>381/481</t>
  </si>
  <si>
    <t>382/482</t>
  </si>
  <si>
    <t>383/483</t>
  </si>
  <si>
    <t>384/484</t>
  </si>
  <si>
    <t>385/485</t>
  </si>
  <si>
    <t>386/486</t>
  </si>
  <si>
    <t>387/487</t>
  </si>
  <si>
    <t>388/488</t>
  </si>
  <si>
    <t>389/489</t>
  </si>
  <si>
    <t>10004/20004</t>
  </si>
  <si>
    <t>10014/20014</t>
  </si>
  <si>
    <t>10042/20042</t>
  </si>
  <si>
    <t>10142/20142</t>
  </si>
  <si>
    <t>10043/20043</t>
  </si>
  <si>
    <t>10143/20143</t>
  </si>
  <si>
    <t>33479/43479</t>
  </si>
  <si>
    <t>33544/43544</t>
  </si>
  <si>
    <t>10006/20006</t>
  </si>
  <si>
    <t>10007/20007</t>
  </si>
  <si>
    <t>10016/20016</t>
  </si>
  <si>
    <t>10017/20017</t>
  </si>
  <si>
    <t>310/410</t>
  </si>
  <si>
    <t>309</t>
  </si>
  <si>
    <t>312/412</t>
  </si>
  <si>
    <t>311</t>
  </si>
  <si>
    <t>219</t>
  </si>
  <si>
    <t>220</t>
  </si>
  <si>
    <t>IVR In 1</t>
  </si>
  <si>
    <t>IVR In 2</t>
  </si>
  <si>
    <t>IVR B24 Out 1</t>
  </si>
  <si>
    <t>IVR B24 Out 2</t>
  </si>
  <si>
    <t>172.25.32.8</t>
  </si>
  <si>
    <t>8200</t>
  </si>
  <si>
    <t>8201</t>
  </si>
  <si>
    <t>8202</t>
  </si>
  <si>
    <t>8203</t>
  </si>
  <si>
    <t>10402</t>
  </si>
  <si>
    <t>6053</t>
  </si>
  <si>
    <t>6054</t>
  </si>
  <si>
    <t>6055</t>
  </si>
  <si>
    <t>6056</t>
  </si>
  <si>
    <t>10401</t>
  </si>
  <si>
    <t>6057</t>
  </si>
  <si>
    <t>6058</t>
  </si>
  <si>
    <t>6059</t>
  </si>
  <si>
    <t>6060</t>
  </si>
  <si>
    <t>503</t>
  </si>
  <si>
    <t>504</t>
  </si>
  <si>
    <t>903</t>
  </si>
  <si>
    <t>904</t>
  </si>
  <si>
    <t>168</t>
  </si>
  <si>
    <t>169</t>
  </si>
  <si>
    <t>394</t>
  </si>
  <si>
    <t>395</t>
  </si>
  <si>
    <t>10761</t>
  </si>
  <si>
    <t>10762</t>
  </si>
  <si>
    <t>12703</t>
  </si>
  <si>
    <t>12706</t>
  </si>
  <si>
    <t>296</t>
  </si>
  <si>
    <t>3401</t>
  </si>
  <si>
    <t>295</t>
  </si>
  <si>
    <t>3411</t>
  </si>
  <si>
    <t>401</t>
  </si>
  <si>
    <t>411</t>
  </si>
  <si>
    <t>2295</t>
  </si>
  <si>
    <t>10731</t>
  </si>
  <si>
    <t>10732</t>
  </si>
  <si>
    <t>11401/11402</t>
  </si>
  <si>
    <t>11403/11404</t>
  </si>
  <si>
    <t>12701/12702</t>
  </si>
  <si>
    <t>12703/12704</t>
  </si>
  <si>
    <t>BANCO BOGOTA CR Fiserv</t>
  </si>
  <si>
    <t>BANCO BOGOTA DB</t>
  </si>
  <si>
    <t>BANCO MEGABANCO</t>
  </si>
  <si>
    <t>BANCO BOGOTA CR</t>
  </si>
  <si>
    <t>ELECTRON MEGABANCO</t>
  </si>
  <si>
    <t>BANCO BOGOTA MEGABANCO</t>
  </si>
  <si>
    <t>172.26.38.18</t>
  </si>
  <si>
    <t>6072</t>
  </si>
  <si>
    <t>6071</t>
  </si>
  <si>
    <t>6073</t>
  </si>
  <si>
    <t>6074</t>
  </si>
  <si>
    <t>SVPRODFEAPP01</t>
  </si>
  <si>
    <t>SVPRODFEAPP02</t>
  </si>
  <si>
    <t>10301/10302</t>
  </si>
  <si>
    <t>10303/10304</t>
  </si>
  <si>
    <t>10305/10306</t>
  </si>
  <si>
    <t>Base24-call_N1</t>
  </si>
  <si>
    <t>Base24-call_N2</t>
  </si>
  <si>
    <t>Base24-POS-01</t>
  </si>
  <si>
    <t>Base24-POS-02</t>
  </si>
  <si>
    <t>Base24-POS-03</t>
  </si>
  <si>
    <t>Base24-POS-04</t>
  </si>
  <si>
    <t>Base24-POS-05</t>
  </si>
  <si>
    <t>Base24-POS-06</t>
  </si>
  <si>
    <t>Base24-POS-07</t>
  </si>
  <si>
    <t>Base24-POS-08</t>
  </si>
  <si>
    <t>Base24-POS-09</t>
  </si>
  <si>
    <t>Base24-POS-10</t>
  </si>
  <si>
    <t>Base24-POS-11</t>
  </si>
  <si>
    <t>Base24-POS-12</t>
  </si>
  <si>
    <t>Base24-POS-13</t>
  </si>
  <si>
    <t>Base24-POS-14</t>
  </si>
  <si>
    <t>Base24-POS-15</t>
  </si>
  <si>
    <t>Base24-POS-16</t>
  </si>
  <si>
    <t>Base24-POS-17</t>
  </si>
  <si>
    <t>Base24-POS-18</t>
  </si>
  <si>
    <t>Base24-POS-19</t>
  </si>
  <si>
    <t>Base24-POS-20</t>
  </si>
  <si>
    <t>Base24-POS-21</t>
  </si>
  <si>
    <t>Base24-POS-22</t>
  </si>
  <si>
    <t>Base24-POS-23</t>
  </si>
  <si>
    <t>Base24-POS-24</t>
  </si>
  <si>
    <t>Base24-POS-25</t>
  </si>
  <si>
    <t>Base24-POS-26</t>
  </si>
  <si>
    <t>Base24-POS-27</t>
  </si>
  <si>
    <t>Base24-POS-28</t>
  </si>
  <si>
    <t>Base24-POS-29</t>
  </si>
  <si>
    <t>Base24-POS-30</t>
  </si>
  <si>
    <t>Base24-POS-31</t>
  </si>
  <si>
    <t>Base24-POS-32</t>
  </si>
  <si>
    <t>Base24-POS-33</t>
  </si>
  <si>
    <t>Base24-POS-34</t>
  </si>
  <si>
    <t>Base24-POS-35</t>
  </si>
  <si>
    <t>Base24-POS-36</t>
  </si>
  <si>
    <t>iBHb2</t>
  </si>
  <si>
    <t>Occi P2C^HISO6023 1</t>
  </si>
  <si>
    <t>Occi P2C^HISO6023 2</t>
  </si>
  <si>
    <t>10.2.34.18</t>
  </si>
  <si>
    <t>PRM_SVFE_N1 35219</t>
  </si>
  <si>
    <t>ETEK B24_1</t>
  </si>
  <si>
    <t>ETEK B24_2</t>
  </si>
  <si>
    <t>ETEK_01</t>
  </si>
  <si>
    <t>ETEK_02</t>
  </si>
  <si>
    <t>PEDRALBES_1</t>
  </si>
  <si>
    <t>PEDRALBES_2</t>
  </si>
  <si>
    <t>PEDRALBES B24_1</t>
  </si>
  <si>
    <t>PEDRALBES B24_2</t>
  </si>
  <si>
    <t xml:space="preserve">192.168.15.10 </t>
  </si>
  <si>
    <t xml:space="preserve">172.16.4.10  </t>
  </si>
  <si>
    <t>BUS Pasarelas 1</t>
  </si>
  <si>
    <t>BUS Pasarleas 2</t>
  </si>
  <si>
    <t xml:space="preserve">B24 Pasarelas 1 </t>
  </si>
  <si>
    <t>B24 Pasarelas 2</t>
  </si>
  <si>
    <t>10572</t>
  </si>
  <si>
    <t>10573</t>
  </si>
  <si>
    <t>10592</t>
  </si>
  <si>
    <t>10593</t>
  </si>
  <si>
    <t>Pago Automático In 2</t>
  </si>
  <si>
    <t>Pago Automático In 1</t>
  </si>
  <si>
    <t xml:space="preserve">PA (PA - BASE24) Out 1 </t>
  </si>
  <si>
    <t>SVCERTFEAPP01</t>
  </si>
  <si>
    <t>SVCERTFEAPP02</t>
  </si>
  <si>
    <t>11761</t>
  </si>
  <si>
    <t>11762</t>
  </si>
  <si>
    <t>Suda CR Sig TEST 1</t>
  </si>
  <si>
    <t>Suda CR Sig TEST 2</t>
  </si>
  <si>
    <t>Suda CR (0112) TEST 1</t>
  </si>
  <si>
    <t>Suda CR (0112) TEST 2</t>
  </si>
  <si>
    <t>Suda Cavipetro TEST 1</t>
  </si>
  <si>
    <t>Suda Cavipetro TEST 2</t>
  </si>
  <si>
    <t>Suda PL (1112) TEST 1</t>
  </si>
  <si>
    <t>Suda PL (1112) TEST 2</t>
  </si>
  <si>
    <t>12601</t>
  </si>
  <si>
    <t>12602</t>
  </si>
  <si>
    <t>12611</t>
  </si>
  <si>
    <t>12612</t>
  </si>
  <si>
    <t>ATM ATH out 1</t>
  </si>
  <si>
    <t>ATM ATH in 1</t>
  </si>
  <si>
    <t>ATM ATH out 2</t>
  </si>
  <si>
    <t xml:space="preserve"> ATM ATH in 2</t>
  </si>
  <si>
    <t>ATM Davivi in 1</t>
  </si>
  <si>
    <t>ATM Davivi out 1</t>
  </si>
  <si>
    <t>ATM Davivi in 2</t>
  </si>
  <si>
    <t>ATM Daviv out 2</t>
  </si>
  <si>
    <t>ATM Servib out Nal</t>
  </si>
  <si>
    <t>ATM Servib in Nal</t>
  </si>
  <si>
    <t>6021</t>
  </si>
  <si>
    <t>6022</t>
  </si>
  <si>
    <t>6011</t>
  </si>
  <si>
    <t>6012</t>
  </si>
  <si>
    <t>6013</t>
  </si>
  <si>
    <t>6014</t>
  </si>
  <si>
    <t>HABILITADA</t>
  </si>
  <si>
    <t>N</t>
  </si>
  <si>
    <t>S</t>
  </si>
  <si>
    <t>2/iBHb2</t>
  </si>
  <si>
    <t>Habilitada</t>
  </si>
  <si>
    <t>TEST</t>
  </si>
  <si>
    <t>QA</t>
  </si>
  <si>
    <t>PREPRODUCCION</t>
  </si>
  <si>
    <t>DING Tecnipagos in 1</t>
  </si>
  <si>
    <t>DING Tecnipagos in 2</t>
  </si>
  <si>
    <t>172.27.1.176</t>
  </si>
  <si>
    <t>172.27.1.144</t>
  </si>
  <si>
    <t>10200/20200</t>
  </si>
  <si>
    <t>10201/20201</t>
  </si>
  <si>
    <t>10210/20210</t>
  </si>
  <si>
    <t>10211/20211</t>
  </si>
  <si>
    <t>TCP</t>
  </si>
  <si>
    <t>3545</t>
  </si>
  <si>
    <t>ANY</t>
  </si>
  <si>
    <t>B24 IPAY N1 out 1</t>
  </si>
  <si>
    <t>3545x</t>
  </si>
  <si>
    <t>172.19.207.40x</t>
  </si>
  <si>
    <t>TCP1</t>
  </si>
  <si>
    <t>58204</t>
  </si>
  <si>
    <t>CALL CENTER Out 1</t>
  </si>
  <si>
    <t>58205</t>
  </si>
  <si>
    <t>CALL CENTER Out 2</t>
  </si>
  <si>
    <t>58203</t>
  </si>
  <si>
    <t>B24 IVR N1 out 2</t>
  </si>
  <si>
    <t>58202</t>
  </si>
  <si>
    <t>B24 IVR N1 out 1</t>
  </si>
  <si>
    <t>XX7777</t>
  </si>
  <si>
    <t>XX172.19.207.40</t>
  </si>
  <si>
    <t>MC BICISO NETWORK</t>
  </si>
  <si>
    <t>XX7778</t>
  </si>
  <si>
    <t>MC BICISO NETWORK 2</t>
  </si>
  <si>
    <t>7034</t>
  </si>
  <si>
    <t>172.19.207.38X</t>
  </si>
  <si>
    <t>MC BNET Network</t>
  </si>
  <si>
    <t>3539</t>
  </si>
  <si>
    <t>B24 Canales PA</t>
  </si>
  <si>
    <t>XX4200</t>
  </si>
  <si>
    <t>B24 Canales Vpay</t>
  </si>
  <si>
    <t>35576</t>
  </si>
  <si>
    <t>Base24-POS-26_N1</t>
  </si>
  <si>
    <t>35575</t>
  </si>
  <si>
    <t>Base24-POS-25_N1</t>
  </si>
  <si>
    <t>35574</t>
  </si>
  <si>
    <t>Base24-POS-24_N1</t>
  </si>
  <si>
    <t>35573</t>
  </si>
  <si>
    <t>Base24-POS-23_N1</t>
  </si>
  <si>
    <t>35572</t>
  </si>
  <si>
    <t>Base24-POS-22_N1</t>
  </si>
  <si>
    <t>35571</t>
  </si>
  <si>
    <t>Base24-POS-21_N1</t>
  </si>
  <si>
    <t>35570</t>
  </si>
  <si>
    <t>Base24-POS-20_N1</t>
  </si>
  <si>
    <t>35568</t>
  </si>
  <si>
    <t>Base24-POS-18_N1</t>
  </si>
  <si>
    <t>35567</t>
  </si>
  <si>
    <t>Base24-POS-17_N1</t>
  </si>
  <si>
    <t>35566</t>
  </si>
  <si>
    <t>Base24-POS-16_N1</t>
  </si>
  <si>
    <t>35565</t>
  </si>
  <si>
    <t>Base24-POS-15_N1</t>
  </si>
  <si>
    <t>35564</t>
  </si>
  <si>
    <t>Base24-POS-14_N1</t>
  </si>
  <si>
    <t>35563</t>
  </si>
  <si>
    <t>Base24-POS-13_N1</t>
  </si>
  <si>
    <t>35562</t>
  </si>
  <si>
    <t>Base24-POS-12_N1</t>
  </si>
  <si>
    <t>35561</t>
  </si>
  <si>
    <t>Base24-POS-11_N1</t>
  </si>
  <si>
    <t>35560</t>
  </si>
  <si>
    <t>Base24-POS-10_N1</t>
  </si>
  <si>
    <t>35559</t>
  </si>
  <si>
    <t>Base24-POS-09_N1</t>
  </si>
  <si>
    <t>35558</t>
  </si>
  <si>
    <t>Base24-POS-08_N1</t>
  </si>
  <si>
    <t>35557</t>
  </si>
  <si>
    <t>Base24-POS-07_N1</t>
  </si>
  <si>
    <t>35556</t>
  </si>
  <si>
    <t>Base24-POS-06_N1</t>
  </si>
  <si>
    <t>35555</t>
  </si>
  <si>
    <t>Base24-POS-05_N1</t>
  </si>
  <si>
    <t>35554</t>
  </si>
  <si>
    <t>Base24-POS-04_N1</t>
  </si>
  <si>
    <t>35553</t>
  </si>
  <si>
    <t>Base24-POS-03_N1</t>
  </si>
  <si>
    <t>35552</t>
  </si>
  <si>
    <t>Base24-POS-02_N1</t>
  </si>
  <si>
    <t>35551</t>
  </si>
  <si>
    <t>Base24-POS-01_N1</t>
  </si>
  <si>
    <t>7781</t>
  </si>
  <si>
    <t>BASE24_POS_CANAL</t>
  </si>
  <si>
    <t>35569</t>
  </si>
  <si>
    <t>Base24-POS-19_N1</t>
  </si>
  <si>
    <t>45586x</t>
  </si>
  <si>
    <t>172.19.207.70</t>
  </si>
  <si>
    <t>Base24-POS-36_N2</t>
  </si>
  <si>
    <t>45585x</t>
  </si>
  <si>
    <t>Base24-POS-35_N2</t>
  </si>
  <si>
    <t>45584x</t>
  </si>
  <si>
    <t>Base24-POS-34_N2</t>
  </si>
  <si>
    <t>45583x</t>
  </si>
  <si>
    <t>Base24-POS-33_N2</t>
  </si>
  <si>
    <t>45582x</t>
  </si>
  <si>
    <t>Base24-POS-32_N2</t>
  </si>
  <si>
    <t>45581x</t>
  </si>
  <si>
    <t>Base24-POS-31_N2</t>
  </si>
  <si>
    <t>45580x</t>
  </si>
  <si>
    <t>Base24-POS-30_N2</t>
  </si>
  <si>
    <t>45579x</t>
  </si>
  <si>
    <t>Base24-POS-29_N2</t>
  </si>
  <si>
    <t>45578x</t>
  </si>
  <si>
    <t>Base24-POS-28_N2</t>
  </si>
  <si>
    <t>TCP2</t>
  </si>
  <si>
    <t>45577x</t>
  </si>
  <si>
    <t>Base24-POS-27_N2</t>
  </si>
  <si>
    <t>45576x</t>
  </si>
  <si>
    <t>Base24-POS-26_N2</t>
  </si>
  <si>
    <t>45575x</t>
  </si>
  <si>
    <t>Base24-POS-25_N2</t>
  </si>
  <si>
    <t>45574x</t>
  </si>
  <si>
    <t>Base24-POS-24_N2</t>
  </si>
  <si>
    <t>45573x</t>
  </si>
  <si>
    <t>Base24-POS-23_N2</t>
  </si>
  <si>
    <t>45572x</t>
  </si>
  <si>
    <t>Base24-POS-22_N2</t>
  </si>
  <si>
    <t>45571x</t>
  </si>
  <si>
    <t>Base24-POS-21_N2</t>
  </si>
  <si>
    <t>45570x</t>
  </si>
  <si>
    <t>Base24-POS-20_N2</t>
  </si>
  <si>
    <t>45569x</t>
  </si>
  <si>
    <t>Base24-POS-19_N2</t>
  </si>
  <si>
    <t>45568x</t>
  </si>
  <si>
    <t>Base24-POS-18_N2</t>
  </si>
  <si>
    <t>45567x</t>
  </si>
  <si>
    <t>Base24-POS-17_N2</t>
  </si>
  <si>
    <t>45566x</t>
  </si>
  <si>
    <t>Base24-POS-16_N2</t>
  </si>
  <si>
    <t>45565x</t>
  </si>
  <si>
    <t>Base24-POS-15_N2</t>
  </si>
  <si>
    <t>45564x</t>
  </si>
  <si>
    <t>Base24-POS-14_N2</t>
  </si>
  <si>
    <t>45563x</t>
  </si>
  <si>
    <t>Base24-POS-13_N2</t>
  </si>
  <si>
    <t>45562x</t>
  </si>
  <si>
    <t>Base24-POS-12_N2</t>
  </si>
  <si>
    <t>45561x</t>
  </si>
  <si>
    <t>Base24-POS-11_N2</t>
  </si>
  <si>
    <t>45560x</t>
  </si>
  <si>
    <t>Base24-POS-10_N2</t>
  </si>
  <si>
    <t>45559x</t>
  </si>
  <si>
    <t>Base24-POS-09_N2</t>
  </si>
  <si>
    <t>45558x</t>
  </si>
  <si>
    <t>Base24-POS-08_N2</t>
  </si>
  <si>
    <t>45557x</t>
  </si>
  <si>
    <t>Base24-POS-07_N2</t>
  </si>
  <si>
    <t>45556x</t>
  </si>
  <si>
    <t>Base24-POS-06_N2</t>
  </si>
  <si>
    <t>45555x</t>
  </si>
  <si>
    <t>Base24-POS-05_N2</t>
  </si>
  <si>
    <t>45554x</t>
  </si>
  <si>
    <t>Base24-POS-04_N2</t>
  </si>
  <si>
    <t>45553x</t>
  </si>
  <si>
    <t>Base24-POS-03_N2</t>
  </si>
  <si>
    <t>45552x</t>
  </si>
  <si>
    <t>Base24-POS-02_N2</t>
  </si>
  <si>
    <t>45551x</t>
  </si>
  <si>
    <t>Base24-POS-01_N2</t>
  </si>
  <si>
    <t>35586</t>
  </si>
  <si>
    <t>Base24-POS-36_N1</t>
  </si>
  <si>
    <t>35585</t>
  </si>
  <si>
    <t>Base24-POS-35_N1</t>
  </si>
  <si>
    <t>35584</t>
  </si>
  <si>
    <t>Base24-POS-34_N1</t>
  </si>
  <si>
    <t>35583</t>
  </si>
  <si>
    <t>Base24-POS-33_N1</t>
  </si>
  <si>
    <t>35582</t>
  </si>
  <si>
    <t>Base24-POS-32_N1</t>
  </si>
  <si>
    <t>35581</t>
  </si>
  <si>
    <t>Base24-POS-31_N1</t>
  </si>
  <si>
    <t>35580</t>
  </si>
  <si>
    <t>Base24-POS-30_N1</t>
  </si>
  <si>
    <t>35579</t>
  </si>
  <si>
    <t>Base24-POS-29_N1</t>
  </si>
  <si>
    <t>35578</t>
  </si>
  <si>
    <t>Base24-POS-28_N1</t>
  </si>
  <si>
    <t>35577</t>
  </si>
  <si>
    <t>Base24-POS-27_N1</t>
  </si>
  <si>
    <t>58084</t>
  </si>
  <si>
    <t>B24 Cencosud</t>
  </si>
  <si>
    <t>5226X</t>
  </si>
  <si>
    <t>172.19.207.40X</t>
  </si>
  <si>
    <t>Red B24 Aviatur</t>
  </si>
  <si>
    <t>8501x</t>
  </si>
  <si>
    <t>BASE24_MPOS_HISO</t>
  </si>
  <si>
    <t>8512</t>
  </si>
  <si>
    <t>8511</t>
  </si>
  <si>
    <t>x8502</t>
  </si>
  <si>
    <t>172.19.207.xx40</t>
  </si>
  <si>
    <t>28505</t>
  </si>
  <si>
    <t>BASE24_Pedralbes</t>
  </si>
  <si>
    <t>58506</t>
  </si>
  <si>
    <t>28506</t>
  </si>
  <si>
    <t>58505</t>
  </si>
  <si>
    <t>53055</t>
  </si>
  <si>
    <t>BASE24_Pasarelas</t>
  </si>
  <si>
    <t>23055</t>
  </si>
  <si>
    <t>23044</t>
  </si>
  <si>
    <t>53044</t>
  </si>
  <si>
    <t>28811</t>
  </si>
  <si>
    <t>BASE24_ETEK</t>
  </si>
  <si>
    <t>58810</t>
  </si>
  <si>
    <t>28810</t>
  </si>
  <si>
    <t>58811</t>
  </si>
  <si>
    <t>52017</t>
  </si>
  <si>
    <t>SVFE-&gt;Base24_QR_BUS</t>
  </si>
  <si>
    <t>62017</t>
  </si>
  <si>
    <t>63017</t>
  </si>
  <si>
    <t>53017</t>
  </si>
  <si>
    <t>25168</t>
  </si>
  <si>
    <t>AMEX-BCOL-B24-EMI-POS</t>
  </si>
  <si>
    <t>25169</t>
  </si>
  <si>
    <t>AMEX-BCOL-B24-EMI-ATM</t>
  </si>
  <si>
    <t>30094</t>
  </si>
  <si>
    <t xml:space="preserve">172.19.207.40 </t>
  </si>
  <si>
    <t>AMEX-BCOL-B24-ADQ-POS</t>
  </si>
  <si>
    <t>20095</t>
  </si>
  <si>
    <t>AMEX-BCOL-B24-ADQ-ATM</t>
  </si>
  <si>
    <t>55169</t>
  </si>
  <si>
    <t>AMEX-BCOL-EMU-EMI-ATM</t>
  </si>
  <si>
    <t>55168</t>
  </si>
  <si>
    <t>AMEX-BCOL-EMU-EMI-POS</t>
  </si>
  <si>
    <t>50095</t>
  </si>
  <si>
    <t>AMEX-BCOL-EMU-ADQ-ATM</t>
  </si>
  <si>
    <t>50094</t>
  </si>
  <si>
    <t>AMEX-BCOL-EMU-ADQ-POS</t>
  </si>
  <si>
    <t>25903</t>
  </si>
  <si>
    <t>AMEX-COLP-B24-EMI-POS</t>
  </si>
  <si>
    <t>25904</t>
  </si>
  <si>
    <t>AMEX-COLP-B24-EMI-ATM</t>
  </si>
  <si>
    <t>55903</t>
  </si>
  <si>
    <t>AMEX-COLP-EMU-EMI-POS</t>
  </si>
  <si>
    <t>55904</t>
  </si>
  <si>
    <t>AMEX-COLP-EMU-EMI-ATM</t>
  </si>
  <si>
    <t>52605х</t>
  </si>
  <si>
    <t>RBM ISS-CL</t>
  </si>
  <si>
    <t>54111х</t>
  </si>
  <si>
    <t>52606х</t>
  </si>
  <si>
    <t>RBM B24 ADQ-CLI</t>
  </si>
  <si>
    <t>53111х</t>
  </si>
  <si>
    <t>RBM B24 ADQ-SRV</t>
  </si>
  <si>
    <t>10102xx</t>
  </si>
  <si>
    <t>172.26.34.135xx</t>
  </si>
  <si>
    <t>SVFE-&gt;Visa OL 2</t>
  </si>
  <si>
    <t>10103xx</t>
  </si>
  <si>
    <t>172.26.9.73xx</t>
  </si>
  <si>
    <t>VISA SVFE-&gt;VTS Sim</t>
  </si>
  <si>
    <t>10151</t>
  </si>
  <si>
    <t>SVFE-&gt;Visa OL 1</t>
  </si>
  <si>
    <t>9020</t>
  </si>
  <si>
    <t>TEST DEST</t>
  </si>
  <si>
    <t>9010</t>
  </si>
  <si>
    <t>TEST DEST-RES</t>
  </si>
  <si>
    <t>12096</t>
  </si>
  <si>
    <t>172.21.1.176</t>
  </si>
  <si>
    <t>RBM-AUTOM_ADQUI</t>
  </si>
  <si>
    <t>XX6034</t>
  </si>
  <si>
    <t>XX172.19.207.36</t>
  </si>
  <si>
    <t>6005</t>
  </si>
  <si>
    <t>172.19.207.36</t>
  </si>
  <si>
    <t>MC MDS Network</t>
  </si>
  <si>
    <t>7005</t>
  </si>
  <si>
    <t>20851</t>
  </si>
  <si>
    <t>203.184.81.73</t>
  </si>
  <si>
    <t>Network UPI</t>
  </si>
  <si>
    <t>20852</t>
  </si>
  <si>
    <t>203.184.81.83</t>
  </si>
  <si>
    <t>Network UPI 2</t>
  </si>
  <si>
    <t>28161</t>
  </si>
  <si>
    <t>Occidente TEST 1</t>
  </si>
  <si>
    <t>28162</t>
  </si>
  <si>
    <t>Occidente TEST 2</t>
  </si>
  <si>
    <t>17778</t>
  </si>
  <si>
    <t>TEST ORG-RES</t>
  </si>
  <si>
    <t>17777</t>
  </si>
  <si>
    <t>10.0.1.54</t>
  </si>
  <si>
    <t>TEST ORG</t>
  </si>
  <si>
    <t>38202</t>
  </si>
  <si>
    <t>IVR N1 in 1</t>
  </si>
  <si>
    <t>38203</t>
  </si>
  <si>
    <t>IVR N1 in 2</t>
  </si>
  <si>
    <t>3480</t>
  </si>
  <si>
    <t>10.99.77.9</t>
  </si>
  <si>
    <t>Ipay-Inst N1 in 1</t>
  </si>
  <si>
    <t>48506</t>
  </si>
  <si>
    <t>Pedralbes-&gt;SVFE</t>
  </si>
  <si>
    <t>38506</t>
  </si>
  <si>
    <t>48505</t>
  </si>
  <si>
    <t>38505</t>
  </si>
  <si>
    <t>43044</t>
  </si>
  <si>
    <t>Pasarelas-&gt;SVFE</t>
  </si>
  <si>
    <t>43055</t>
  </si>
  <si>
    <t>33055</t>
  </si>
  <si>
    <t>33044</t>
  </si>
  <si>
    <t>48811</t>
  </si>
  <si>
    <t>ETEK-&gt;SVFE</t>
  </si>
  <si>
    <t>48810</t>
  </si>
  <si>
    <t>38811</t>
  </si>
  <si>
    <t>38810</t>
  </si>
  <si>
    <t>23017</t>
  </si>
  <si>
    <t>QR_BUS 1 -&gt; SVFE</t>
  </si>
  <si>
    <t>22017</t>
  </si>
  <si>
    <t>32017</t>
  </si>
  <si>
    <t>QR_BUS 2 -&gt; SVFE</t>
  </si>
  <si>
    <t>33017</t>
  </si>
  <si>
    <t>8501</t>
  </si>
  <si>
    <t>MPOS HISO -&gt; SVFE</t>
  </si>
  <si>
    <t>8502</t>
  </si>
  <si>
    <t>38084</t>
  </si>
  <si>
    <t>Cencosud 3 -&gt; SVFE</t>
  </si>
  <si>
    <t>8315</t>
  </si>
  <si>
    <t>Cencosud 2 -&gt; SVFE</t>
  </si>
  <si>
    <t>8084</t>
  </si>
  <si>
    <t>Cencosud 1 -&gt; SVFE</t>
  </si>
  <si>
    <t>5226</t>
  </si>
  <si>
    <t>Aviatur -&gt; SVFE</t>
  </si>
  <si>
    <t>4200</t>
  </si>
  <si>
    <t>V-PAYMENT -&gt; SV</t>
  </si>
  <si>
    <t>XX172.27.1.176</t>
  </si>
  <si>
    <t>V-PAYMENT 2 -&gt; SV</t>
  </si>
  <si>
    <t>PAGO AUTOMATICO -&gt; SV</t>
  </si>
  <si>
    <t>xx3539</t>
  </si>
  <si>
    <t>xx172.27.1.176</t>
  </si>
  <si>
    <t>PAGO AUTOMAT 2 -&gt; SV</t>
  </si>
  <si>
    <t>11102</t>
  </si>
  <si>
    <t>172.26.38.10x</t>
  </si>
  <si>
    <t>B24-&gt;2 SVFE 8</t>
  </si>
  <si>
    <t>11103x</t>
  </si>
  <si>
    <t>172.19.207.41x</t>
  </si>
  <si>
    <t>B24-&gt;1 SVFE 8</t>
  </si>
  <si>
    <t>MC B24 MDS Network</t>
  </si>
  <si>
    <t>CBCO B24 BNET-CLI</t>
  </si>
  <si>
    <t>6034</t>
  </si>
  <si>
    <t>MC B24 BNET Network</t>
  </si>
  <si>
    <t>8114</t>
  </si>
  <si>
    <t>172.29.9.xx</t>
  </si>
  <si>
    <t>Red ATM Dummy-B out 2</t>
  </si>
  <si>
    <t>8113</t>
  </si>
  <si>
    <t>Red ATM Dummy-B out 1</t>
  </si>
  <si>
    <t>TCP3</t>
  </si>
  <si>
    <t>53214</t>
  </si>
  <si>
    <t>Red ATM Itau out 2</t>
  </si>
  <si>
    <t>52214</t>
  </si>
  <si>
    <t>Red ATM Itau out 1</t>
  </si>
  <si>
    <t>2073</t>
  </si>
  <si>
    <t>Red ATM SERV IN out 1</t>
  </si>
  <si>
    <t>Red ATM SERV DI out 1</t>
  </si>
  <si>
    <t>XX4073</t>
  </si>
  <si>
    <t>Red ATM SERV NA out 1</t>
  </si>
  <si>
    <t>4510</t>
  </si>
  <si>
    <t>Red ATM FALABEL out 1</t>
  </si>
  <si>
    <t>5510</t>
  </si>
  <si>
    <t>Red ATM FALABEL out 2</t>
  </si>
  <si>
    <t>xx7164</t>
  </si>
  <si>
    <t>xx6164</t>
  </si>
  <si>
    <t>XX3234</t>
  </si>
  <si>
    <t>Red ATM Davivie out 1</t>
  </si>
  <si>
    <t>XX3151</t>
  </si>
  <si>
    <t>Red ATM Davivie out 2</t>
  </si>
  <si>
    <t>XX2190</t>
  </si>
  <si>
    <t>Red ATM Colpatr out 1</t>
  </si>
  <si>
    <t>XX3190</t>
  </si>
  <si>
    <t>Red ATM Colpatr out 2</t>
  </si>
  <si>
    <t>XX3180</t>
  </si>
  <si>
    <t>172.19.207.XX40</t>
  </si>
  <si>
    <t>XX2180</t>
  </si>
  <si>
    <t>52013</t>
  </si>
  <si>
    <t>54013</t>
  </si>
  <si>
    <t>55013</t>
  </si>
  <si>
    <t>53013</t>
  </si>
  <si>
    <t>22XX03</t>
  </si>
  <si>
    <t>172.19.XX207.40</t>
  </si>
  <si>
    <t>23XX03</t>
  </si>
  <si>
    <t>24XX03</t>
  </si>
  <si>
    <t>32XX07</t>
  </si>
  <si>
    <t>34XX07</t>
  </si>
  <si>
    <t>35XX7</t>
  </si>
  <si>
    <t>53074</t>
  </si>
  <si>
    <t>Red ATM ATH-B24 out 1</t>
  </si>
  <si>
    <t>52074</t>
  </si>
  <si>
    <t>Red ATM ATH-B24 out 2</t>
  </si>
  <si>
    <t>35026</t>
  </si>
  <si>
    <t>Ding P2A^HISO26</t>
  </si>
  <si>
    <t>36026</t>
  </si>
  <si>
    <t>32152</t>
  </si>
  <si>
    <t>Avvillas P2A^HISO052</t>
  </si>
  <si>
    <t>1152</t>
  </si>
  <si>
    <t>2152</t>
  </si>
  <si>
    <t>1114</t>
  </si>
  <si>
    <t>127.0.0.1</t>
  </si>
  <si>
    <t>Avvillas P2A^HIS2052</t>
  </si>
  <si>
    <t>1112</t>
  </si>
  <si>
    <t>Avvillas P2A^HIS052</t>
  </si>
  <si>
    <t>1111</t>
  </si>
  <si>
    <t>1113</t>
  </si>
  <si>
    <t>31152</t>
  </si>
  <si>
    <t>33049</t>
  </si>
  <si>
    <t>juriscoop CR</t>
  </si>
  <si>
    <t>32049</t>
  </si>
  <si>
    <t>33949</t>
  </si>
  <si>
    <t>juriscoop DR</t>
  </si>
  <si>
    <t>32949</t>
  </si>
  <si>
    <t>7043</t>
  </si>
  <si>
    <t>Agrario CR P2C^HISO43</t>
  </si>
  <si>
    <t>2043</t>
  </si>
  <si>
    <t>10.2.11.67</t>
  </si>
  <si>
    <t>Agrario E P2B^HISO943</t>
  </si>
  <si>
    <t>3043</t>
  </si>
  <si>
    <t>1144</t>
  </si>
  <si>
    <t>comultrasan</t>
  </si>
  <si>
    <t>2044</t>
  </si>
  <si>
    <t>comultrasan no BINs</t>
  </si>
  <si>
    <t>2144</t>
  </si>
  <si>
    <t>1044</t>
  </si>
  <si>
    <t>8111</t>
  </si>
  <si>
    <t>Red ATM Dummy  in 1</t>
  </si>
  <si>
    <t>8112</t>
  </si>
  <si>
    <t>Red ATM Dummy  in 2</t>
  </si>
  <si>
    <t>4002</t>
  </si>
  <si>
    <t>10.2.74.23</t>
  </si>
  <si>
    <t>popular E P2A^HIS9002</t>
  </si>
  <si>
    <t>3702</t>
  </si>
  <si>
    <t>popular CR P2A^HIS02</t>
  </si>
  <si>
    <t>5002</t>
  </si>
  <si>
    <t>2702</t>
  </si>
  <si>
    <t>4112</t>
  </si>
  <si>
    <t>Sudameris CR Sig 2</t>
  </si>
  <si>
    <t>33212</t>
  </si>
  <si>
    <t>35012</t>
  </si>
  <si>
    <t>34012</t>
  </si>
  <si>
    <t>32312</t>
  </si>
  <si>
    <t>32212</t>
  </si>
  <si>
    <t>34212</t>
  </si>
  <si>
    <t>34112</t>
  </si>
  <si>
    <t>3312</t>
  </si>
  <si>
    <t>192.168.144.3</t>
  </si>
  <si>
    <t>Sudameris PL (1112) 4</t>
  </si>
  <si>
    <t>192.168.131.5</t>
  </si>
  <si>
    <t>Sudameris PL (1112) 3</t>
  </si>
  <si>
    <t>3212</t>
  </si>
  <si>
    <t>Sudameris PL (1112) 2</t>
  </si>
  <si>
    <t>Sudameris PL (1112) 1</t>
  </si>
  <si>
    <t>5012</t>
  </si>
  <si>
    <t>Sudameri Cavipetrol 6</t>
  </si>
  <si>
    <t>Sudameri Cavipetrol 5</t>
  </si>
  <si>
    <t>Sudameri Cavipetrol 4</t>
  </si>
  <si>
    <t>4012</t>
  </si>
  <si>
    <t>Sudameri Cavipetrol 3</t>
  </si>
  <si>
    <t>Sudameri Cavipetrol 2</t>
  </si>
  <si>
    <t>Sudameri Cavipetrol 1</t>
  </si>
  <si>
    <t>2312</t>
  </si>
  <si>
    <t>Sudameris CR (0112) 8</t>
  </si>
  <si>
    <t>192.168.131.8</t>
  </si>
  <si>
    <t>Sudameris CR (0112) 7</t>
  </si>
  <si>
    <t>Sudameris CR (0112) 6</t>
  </si>
  <si>
    <t>Sudameris CR (0112) 5</t>
  </si>
  <si>
    <t>2212</t>
  </si>
  <si>
    <t>Sudameris CR (0112) 4</t>
  </si>
  <si>
    <t>Sudameris CR (0112) 3</t>
  </si>
  <si>
    <t>Sudameris CR (0112) 2</t>
  </si>
  <si>
    <t>Sudameris CR (0112) 1</t>
  </si>
  <si>
    <t>4212</t>
  </si>
  <si>
    <t>Sudameris CR Sig 8</t>
  </si>
  <si>
    <t>Sudameris CR Sig 7</t>
  </si>
  <si>
    <t>Sudameris CR Sig 6</t>
  </si>
  <si>
    <t>Sudameris CR Sig 5</t>
  </si>
  <si>
    <t>Sudameris CR Sig 4</t>
  </si>
  <si>
    <t>Sudameris CR Sig 3</t>
  </si>
  <si>
    <t>33312</t>
  </si>
  <si>
    <t>Sudameris CR Sig 1</t>
  </si>
  <si>
    <t>33701</t>
  </si>
  <si>
    <t xml:space="preserve">Bogota </t>
  </si>
  <si>
    <t>3701</t>
  </si>
  <si>
    <t>2701</t>
  </si>
  <si>
    <t>39600</t>
  </si>
  <si>
    <t>31960</t>
  </si>
  <si>
    <t>3901</t>
  </si>
  <si>
    <t>33901</t>
  </si>
  <si>
    <t>32301</t>
  </si>
  <si>
    <t>32001</t>
  </si>
  <si>
    <t>3001</t>
  </si>
  <si>
    <t>33001</t>
  </si>
  <si>
    <t>36201</t>
  </si>
  <si>
    <t>36901</t>
  </si>
  <si>
    <t>35201</t>
  </si>
  <si>
    <t>35901</t>
  </si>
  <si>
    <t>32201</t>
  </si>
  <si>
    <t>32901</t>
  </si>
  <si>
    <t>2901</t>
  </si>
  <si>
    <t>32701</t>
  </si>
  <si>
    <t>2114</t>
  </si>
  <si>
    <t>10.2.105.7</t>
  </si>
  <si>
    <t>Itau Platinum 3</t>
  </si>
  <si>
    <t>3114</t>
  </si>
  <si>
    <t>Itau Platinum 2</t>
  </si>
  <si>
    <t>Itau Platinum 1</t>
  </si>
  <si>
    <t>3014</t>
  </si>
  <si>
    <t>Itau DR CR E 4</t>
  </si>
  <si>
    <t>2014</t>
  </si>
  <si>
    <t>Itau DR CR E test 1</t>
  </si>
  <si>
    <t>Itau Platinum 4</t>
  </si>
  <si>
    <t>Itau DR CR E test 2</t>
  </si>
  <si>
    <t>Itau DR CR E 3</t>
  </si>
  <si>
    <t>Itau DR CR E 2</t>
  </si>
  <si>
    <t>Itau DR CR E 1</t>
  </si>
  <si>
    <t>32214</t>
  </si>
  <si>
    <t>Red ATM Itau in 1</t>
  </si>
  <si>
    <t>33214</t>
  </si>
  <si>
    <t>Red ATM Itau in 2</t>
  </si>
  <si>
    <t>8823</t>
  </si>
  <si>
    <t>Occi T3 DEBITO</t>
  </si>
  <si>
    <t>3723</t>
  </si>
  <si>
    <t>172.16.27.245</t>
  </si>
  <si>
    <t>Occi P2C^HISO6023</t>
  </si>
  <si>
    <t>2723</t>
  </si>
  <si>
    <t>33723</t>
  </si>
  <si>
    <t>32723</t>
  </si>
  <si>
    <t>Occi T3 CREDITO</t>
  </si>
  <si>
    <t>7723</t>
  </si>
  <si>
    <t>6623</t>
  </si>
  <si>
    <t>Occident P2C^HIS9023</t>
  </si>
  <si>
    <t>5523</t>
  </si>
  <si>
    <t>36623</t>
  </si>
  <si>
    <t>35523</t>
  </si>
  <si>
    <t>XX2073</t>
  </si>
  <si>
    <t>XX192.168.131.6</t>
  </si>
  <si>
    <t>Red ATM SERV IN in 1</t>
  </si>
  <si>
    <t>XX6073</t>
  </si>
  <si>
    <t>Red ATM SERV DI in 1</t>
  </si>
  <si>
    <t>Red ATM SERV NA in 1</t>
  </si>
  <si>
    <t>172.35.200.12</t>
  </si>
  <si>
    <t>Red ATM FALABEL  in 1</t>
  </si>
  <si>
    <t>Red ATM FALABEL  in 2</t>
  </si>
  <si>
    <t>6134</t>
  </si>
  <si>
    <t>172.26.38.10</t>
  </si>
  <si>
    <t>7164</t>
  </si>
  <si>
    <t>9064</t>
  </si>
  <si>
    <t>Pich Pr P2A^HIS2064</t>
  </si>
  <si>
    <t>5064</t>
  </si>
  <si>
    <t>192.168.10.130</t>
  </si>
  <si>
    <t>Pich DR P2A^HISO9064</t>
  </si>
  <si>
    <t>1964</t>
  </si>
  <si>
    <t>3064</t>
  </si>
  <si>
    <t>Pich CR P2A^HISO64</t>
  </si>
  <si>
    <t>2064</t>
  </si>
  <si>
    <t>4064</t>
  </si>
  <si>
    <t>39151</t>
  </si>
  <si>
    <t>Davi DINERS 2</t>
  </si>
  <si>
    <t>38151</t>
  </si>
  <si>
    <t>37234</t>
  </si>
  <si>
    <t>Davi DINERS 1</t>
  </si>
  <si>
    <t>36234</t>
  </si>
  <si>
    <t>36951</t>
  </si>
  <si>
    <t>Davi RAPPI</t>
  </si>
  <si>
    <t>37951</t>
  </si>
  <si>
    <t>8151</t>
  </si>
  <si>
    <t>Davi T3 CR</t>
  </si>
  <si>
    <t>9151</t>
  </si>
  <si>
    <t>6234</t>
  </si>
  <si>
    <t>Davi T3 DINERS</t>
  </si>
  <si>
    <t>7234</t>
  </si>
  <si>
    <t>XX10.2.34.17</t>
  </si>
  <si>
    <t>Red ATM Davivie in 1</t>
  </si>
  <si>
    <t>Red ATM Davivie in 2</t>
  </si>
  <si>
    <t>34234</t>
  </si>
  <si>
    <t>Davi MC</t>
  </si>
  <si>
    <t>35234</t>
  </si>
  <si>
    <t>33034</t>
  </si>
  <si>
    <t>Davi VISA DR</t>
  </si>
  <si>
    <t>32034</t>
  </si>
  <si>
    <t>XX10.2.19.18</t>
  </si>
  <si>
    <t>Red ATM Colpatr in 1</t>
  </si>
  <si>
    <t>Red ATM Colpatr in 2</t>
  </si>
  <si>
    <t>3019</t>
  </si>
  <si>
    <t>Colpatria Visa 2</t>
  </si>
  <si>
    <t>2019</t>
  </si>
  <si>
    <t>Colpatria Visa 1</t>
  </si>
  <si>
    <t>2719</t>
  </si>
  <si>
    <t>Colpatria Amex 1</t>
  </si>
  <si>
    <t>3719</t>
  </si>
  <si>
    <t>Colpatria Amex 2</t>
  </si>
  <si>
    <t>2519</t>
  </si>
  <si>
    <t>Colpatria MC 1</t>
  </si>
  <si>
    <t>3519</t>
  </si>
  <si>
    <t>Colpatria MC 2</t>
  </si>
  <si>
    <t>Colp test Visa 1</t>
  </si>
  <si>
    <t>Colp test Visa 2</t>
  </si>
  <si>
    <t>Colp test Amex 1</t>
  </si>
  <si>
    <t>Colp test Amex 2</t>
  </si>
  <si>
    <t>4032</t>
  </si>
  <si>
    <t>10.2.32.18</t>
  </si>
  <si>
    <t>Caja notif P2D^HISO32</t>
  </si>
  <si>
    <t>7932</t>
  </si>
  <si>
    <t>Caja DR 4 P2D^HIS0982</t>
  </si>
  <si>
    <t>6932</t>
  </si>
  <si>
    <t>Caja DR 3 P2D^HIS0982</t>
  </si>
  <si>
    <t>10502</t>
  </si>
  <si>
    <t>Caja DR 2 P2D^HIS0982</t>
  </si>
  <si>
    <t>10501</t>
  </si>
  <si>
    <t>Caja DR 1 P2D^HIS0982</t>
  </si>
  <si>
    <t>5032</t>
  </si>
  <si>
    <t>10.2.32.XX18</t>
  </si>
  <si>
    <t>7013</t>
  </si>
  <si>
    <t>BBVA test CR</t>
  </si>
  <si>
    <t>9913</t>
  </si>
  <si>
    <t>37013</t>
  </si>
  <si>
    <t>35013</t>
  </si>
  <si>
    <t>34013</t>
  </si>
  <si>
    <t>33013</t>
  </si>
  <si>
    <t>32013</t>
  </si>
  <si>
    <t>Red ATM BBVA  in 1</t>
  </si>
  <si>
    <t>36013</t>
  </si>
  <si>
    <t>8913</t>
  </si>
  <si>
    <t>35505</t>
  </si>
  <si>
    <t>35405</t>
  </si>
  <si>
    <t>3303</t>
  </si>
  <si>
    <t>Bancolombia MC 6</t>
  </si>
  <si>
    <t>4403</t>
  </si>
  <si>
    <t>Bancolombia MC 5</t>
  </si>
  <si>
    <t>5503</t>
  </si>
  <si>
    <t>Bancolombia MC 4</t>
  </si>
  <si>
    <t>4503</t>
  </si>
  <si>
    <t>3503</t>
  </si>
  <si>
    <t>2503</t>
  </si>
  <si>
    <t>37103</t>
  </si>
  <si>
    <t>Ba FiServ P2D^HIS6003</t>
  </si>
  <si>
    <t>36103</t>
  </si>
  <si>
    <t>7003</t>
  </si>
  <si>
    <t>Bancolomb P2D^HIS6003</t>
  </si>
  <si>
    <t>6003</t>
  </si>
  <si>
    <t>36307</t>
  </si>
  <si>
    <t>Banc FiServ Amex 2</t>
  </si>
  <si>
    <t>35307</t>
  </si>
  <si>
    <t>Banc FiServ Amex 1</t>
  </si>
  <si>
    <t>4307</t>
  </si>
  <si>
    <t>Bancolombia Amex 2</t>
  </si>
  <si>
    <t>3307</t>
  </si>
  <si>
    <t>Bancolombia Amex 1</t>
  </si>
  <si>
    <t>5035</t>
  </si>
  <si>
    <t>Bancolombia 601660 4</t>
  </si>
  <si>
    <t>5033</t>
  </si>
  <si>
    <t>Bancolombia 601660 3</t>
  </si>
  <si>
    <t>Bancolombia 601660 2</t>
  </si>
  <si>
    <t>5031</t>
  </si>
  <si>
    <t>Bancolombia 601660 1</t>
  </si>
  <si>
    <t>XX3507</t>
  </si>
  <si>
    <t>XX10.2.3.132</t>
  </si>
  <si>
    <t>XX3407</t>
  </si>
  <si>
    <t>10.2.3.XX132</t>
  </si>
  <si>
    <t>XX2403</t>
  </si>
  <si>
    <t>XX2203</t>
  </si>
  <si>
    <t>5605</t>
  </si>
  <si>
    <t>Bancolombest mc 3</t>
  </si>
  <si>
    <t>5505</t>
  </si>
  <si>
    <t>Bancolombest mc 2</t>
  </si>
  <si>
    <t>5405</t>
  </si>
  <si>
    <t>Bancolombest mc 1</t>
  </si>
  <si>
    <t>35605</t>
  </si>
  <si>
    <t>33074</t>
  </si>
  <si>
    <t>32074</t>
  </si>
  <si>
    <t>33218</t>
  </si>
  <si>
    <t>32218</t>
  </si>
  <si>
    <t>32605х</t>
  </si>
  <si>
    <t>CBCO B24 ISS-SVR</t>
  </si>
  <si>
    <t>34011</t>
  </si>
  <si>
    <t>CBCO B24 ISS-CLI</t>
  </si>
  <si>
    <t>32606х</t>
  </si>
  <si>
    <t>172.29.12.67х</t>
  </si>
  <si>
    <t>CBCO B24 ADQ-SRV</t>
  </si>
  <si>
    <t>33011x</t>
  </si>
  <si>
    <t>172.29.12.67x</t>
  </si>
  <si>
    <t>CBCO B24 ADQ-CLI</t>
  </si>
  <si>
    <t>20004</t>
  </si>
  <si>
    <t>172.27.1.93</t>
  </si>
  <si>
    <t>POS 2 - SVFE</t>
  </si>
  <si>
    <t>TCPGATE</t>
  </si>
  <si>
    <t>20016</t>
  </si>
  <si>
    <t>172.27.1.86</t>
  </si>
  <si>
    <t>POS_AIRLINES - SVFE</t>
  </si>
  <si>
    <t>20015</t>
  </si>
  <si>
    <t>172.26.69.67</t>
  </si>
  <si>
    <t>POS_EAI2 4 - SVFE</t>
  </si>
  <si>
    <t>20014</t>
  </si>
  <si>
    <t>POS_EAI2 3 - SVFE</t>
  </si>
  <si>
    <t>20003</t>
  </si>
  <si>
    <t>POS 1 - SVFE</t>
  </si>
  <si>
    <t>20012</t>
  </si>
  <si>
    <t>172.26.69.66</t>
  </si>
  <si>
    <t>POS_EAI 1 - SVFE</t>
  </si>
  <si>
    <t>3478</t>
  </si>
  <si>
    <t>10.99.77.8</t>
  </si>
  <si>
    <t>Ipay-Inst N1 in 2</t>
  </si>
  <si>
    <t>4201</t>
  </si>
  <si>
    <t>172.27.1.16X</t>
  </si>
  <si>
    <t>AMEX Issuer Network</t>
  </si>
  <si>
    <t>х4200</t>
  </si>
  <si>
    <t>172.27.1.16x</t>
  </si>
  <si>
    <t>AMEX Acquirer Network</t>
  </si>
  <si>
    <t>20005</t>
  </si>
  <si>
    <t>POS 3 - SVFE</t>
  </si>
  <si>
    <t>20006</t>
  </si>
  <si>
    <t>POS 4 - SVFE</t>
  </si>
  <si>
    <t>20007</t>
  </si>
  <si>
    <t>POS 5 - SVFE</t>
  </si>
  <si>
    <t>20008</t>
  </si>
  <si>
    <t>POS 6 - SVFE</t>
  </si>
  <si>
    <t>20009</t>
  </si>
  <si>
    <t>POS 7 - SVFE</t>
  </si>
  <si>
    <t>20010</t>
  </si>
  <si>
    <t>POS 8 - SVFE</t>
  </si>
  <si>
    <t>20011</t>
  </si>
  <si>
    <t>POS 9 - SVFE</t>
  </si>
  <si>
    <t>20013</t>
  </si>
  <si>
    <t>POS_EAI2 2 - SVFE</t>
  </si>
  <si>
    <t>20017</t>
  </si>
  <si>
    <t>35219</t>
  </si>
  <si>
    <t>B24-PRM out 2</t>
  </si>
  <si>
    <t>35220</t>
  </si>
  <si>
    <t>B24-PRM out 3</t>
  </si>
  <si>
    <t>6363</t>
  </si>
  <si>
    <t>172.27.1.120</t>
  </si>
  <si>
    <t>PRM cdif out 1</t>
  </si>
  <si>
    <t>6364</t>
  </si>
  <si>
    <t>PRM cdif in 1</t>
  </si>
  <si>
    <t>6365</t>
  </si>
  <si>
    <t>PRM cdif out 2</t>
  </si>
  <si>
    <t>6366</t>
  </si>
  <si>
    <t>PRM cdif in 2</t>
  </si>
  <si>
    <t>1562</t>
  </si>
  <si>
    <t>APIGate</t>
  </si>
  <si>
    <t>15335</t>
  </si>
  <si>
    <t>172.17.2.9</t>
  </si>
  <si>
    <t>TopUp Gateway</t>
  </si>
  <si>
    <t>51025</t>
  </si>
  <si>
    <t>ASMS connection</t>
  </si>
  <si>
    <t>PROTO</t>
  </si>
  <si>
    <t>REMOTE_PORT</t>
  </si>
  <si>
    <t>LOCAL_PORT</t>
  </si>
  <si>
    <t>REMOTE_ADDRESS</t>
  </si>
  <si>
    <t>DESCX</t>
  </si>
  <si>
    <t>OWNER</t>
  </si>
  <si>
    <t>NO ESTA</t>
  </si>
  <si>
    <t>10.107.32.24</t>
  </si>
  <si>
    <t>192.168.220.250</t>
  </si>
  <si>
    <t>172.26.119.176</t>
  </si>
  <si>
    <t>172.26.38.73</t>
  </si>
  <si>
    <t>Credivalores in 1</t>
  </si>
  <si>
    <t>Credivalores in 2</t>
  </si>
  <si>
    <t>UPI_CUP 1</t>
  </si>
  <si>
    <t>UPI_CUP 2</t>
  </si>
  <si>
    <t>625/627</t>
  </si>
  <si>
    <t>626/628</t>
  </si>
  <si>
    <t>slb_plugin_rm_upi.so</t>
  </si>
  <si>
    <t>Etiquetas de fila</t>
  </si>
  <si>
    <t>Total general</t>
  </si>
  <si>
    <t>10570/20570</t>
  </si>
  <si>
    <t>10571/20571</t>
  </si>
  <si>
    <t>10590/20590</t>
  </si>
  <si>
    <t>10591/20591</t>
  </si>
  <si>
    <t>10311/10312</t>
  </si>
  <si>
    <t>10313/10314</t>
  </si>
  <si>
    <t>10611/10612</t>
  </si>
  <si>
    <t>10621/10622</t>
  </si>
  <si>
    <t>10613/10614</t>
  </si>
  <si>
    <t>10623/10624</t>
  </si>
  <si>
    <t>10631/10632</t>
  </si>
  <si>
    <t>10633/10634</t>
  </si>
  <si>
    <t xml:space="preserve">Colpatria Amex 1 </t>
  </si>
  <si>
    <t xml:space="preserve">Colpatria MC 1 </t>
  </si>
  <si>
    <t>11411/11412</t>
  </si>
  <si>
    <t>11413/11414</t>
  </si>
  <si>
    <t>Occident DB Slb1</t>
  </si>
  <si>
    <t>Occident DB Slb2</t>
  </si>
  <si>
    <t>Occident CR Slb 1</t>
  </si>
  <si>
    <t>Occident CR Slb 2</t>
  </si>
  <si>
    <t>172.17.27.253</t>
  </si>
  <si>
    <t>CDb4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</si>
  <si>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</si>
  <si>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</si>
  <si>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</si>
  <si>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</si>
  <si>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</si>
  <si>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</si>
  <si>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</si>
  <si>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</si>
  <si>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</si>
  <si>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</si>
  <si>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</si>
  <si>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</si>
  <si>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</si>
  <si>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</si>
  <si>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</si>
  <si>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</si>
  <si>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</si>
  <si>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</si>
  <si>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</si>
  <si>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</si>
  <si>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</si>
  <si>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</si>
  <si>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</si>
  <si>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</si>
  <si>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</si>
  <si>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</si>
  <si>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</si>
  <si>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</si>
  <si>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</si>
  <si>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</si>
  <si>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</si>
  <si>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</si>
  <si>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</si>
  <si>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</si>
  <si>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</si>
  <si>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</si>
  <si>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Base24-POS1-01</t>
  </si>
  <si>
    <t>Base24-POS1-02</t>
  </si>
  <si>
    <t>Base24-POS1-03</t>
  </si>
  <si>
    <t>Base24-POS1-04</t>
  </si>
  <si>
    <t>Base24-POS1-05</t>
  </si>
  <si>
    <t>Base24-POS1-06</t>
  </si>
  <si>
    <t>Base24-POS2-01</t>
  </si>
  <si>
    <t>Base24-POS2-02</t>
  </si>
  <si>
    <t>Base24-POS2-03</t>
  </si>
  <si>
    <t>Base24-POS2-04</t>
  </si>
  <si>
    <t>Base24-POS2-05</t>
  </si>
  <si>
    <t>Base24-POS2-06</t>
  </si>
  <si>
    <t>Base24-POS3-01</t>
  </si>
  <si>
    <t>Base24-POS3-02</t>
  </si>
  <si>
    <t>Base24-POS3-03</t>
  </si>
  <si>
    <t>Base24-POS3-04</t>
  </si>
  <si>
    <t>Base24-POS3-05</t>
  </si>
  <si>
    <t>Base24-POS3-06</t>
  </si>
  <si>
    <t>Base24-POS4-01</t>
  </si>
  <si>
    <t>Base24-POS4-02</t>
  </si>
  <si>
    <t>Base24-POS4-03</t>
  </si>
  <si>
    <t>Base24-POS4-04</t>
  </si>
  <si>
    <t>Base24-POS4-05</t>
  </si>
  <si>
    <t>Base24-POS4-06</t>
  </si>
  <si>
    <t>Base24-POS5-01</t>
  </si>
  <si>
    <t>Base24-POS5-02</t>
  </si>
  <si>
    <t>Base24-POS5-03</t>
  </si>
  <si>
    <t>Base24-POS5-04</t>
  </si>
  <si>
    <t>Base24-POS5-05</t>
  </si>
  <si>
    <t>Base24-POS5-06</t>
  </si>
  <si>
    <t>Base24-POS6-01</t>
  </si>
  <si>
    <t>Base24-POS6-02</t>
  </si>
  <si>
    <t>Base24-POS6-03</t>
  </si>
  <si>
    <t>Base24-POS6-04</t>
  </si>
  <si>
    <t>Base24-POS6-05</t>
  </si>
  <si>
    <t>Base24-POS6-06</t>
  </si>
  <si>
    <t>Base24-POS2-07</t>
  </si>
  <si>
    <t>Base24-POS2-08</t>
  </si>
  <si>
    <t>Base24-POS2-09</t>
  </si>
  <si>
    <t>Base24-POS2-10</t>
  </si>
  <si>
    <t>Base24-POS2-11</t>
  </si>
  <si>
    <t>Base24-POS2-12</t>
  </si>
  <si>
    <t>Base24-POS3-13</t>
  </si>
  <si>
    <t>Base24-POS3-14</t>
  </si>
  <si>
    <t>Base24-POS3-15</t>
  </si>
  <si>
    <t>Base24-POS3-16</t>
  </si>
  <si>
    <t>Base24-POS3-17</t>
  </si>
  <si>
    <t>Base24-POS3-18</t>
  </si>
  <si>
    <t>Base24-POS4-19</t>
  </si>
  <si>
    <t>Base24-POS4-20</t>
  </si>
  <si>
    <t>Base24-POS4-21</t>
  </si>
  <si>
    <t>Base24-POS4-22</t>
  </si>
  <si>
    <t>Base24-POS4-23</t>
  </si>
  <si>
    <t>Base24-POS4-24</t>
  </si>
  <si>
    <t>Base24-POS5-25</t>
  </si>
  <si>
    <t>Base24-POS5-26</t>
  </si>
  <si>
    <t>Base24-POS5-27</t>
  </si>
  <si>
    <t>Base24-POS5-28</t>
  </si>
  <si>
    <t>Base24-POS5-29</t>
  </si>
  <si>
    <t>Base24-POS5-30</t>
  </si>
  <si>
    <t>Base24-POS6-31</t>
  </si>
  <si>
    <t>Base24-POS6-32</t>
  </si>
  <si>
    <t>Base24-POS6-33</t>
  </si>
  <si>
    <t>Base24-POS6-34</t>
  </si>
  <si>
    <t>Base24-POS6-35</t>
  </si>
  <si>
    <t>Base24-POS6-36</t>
  </si>
  <si>
    <t>172.27.1.144x</t>
  </si>
  <si>
    <t>10.2.14.21x</t>
  </si>
  <si>
    <t>172.19.202.183</t>
  </si>
  <si>
    <t>Caja DR 1 P2DHIS0982</t>
  </si>
  <si>
    <t>Caja DR 2 P2DHIS0982</t>
  </si>
  <si>
    <t>Caja notif 1</t>
  </si>
  <si>
    <t>Caja notif 2</t>
  </si>
  <si>
    <t>10501/10502</t>
  </si>
  <si>
    <t>10503/10504</t>
  </si>
  <si>
    <t>10511/10512</t>
  </si>
  <si>
    <t>10513/10514</t>
  </si>
  <si>
    <t>Davivienda Visa CR-1</t>
  </si>
  <si>
    <t>Davivienda Visa CR-2</t>
  </si>
  <si>
    <t>Davivienda Diners 1</t>
  </si>
  <si>
    <t>Davivienda Diners 2</t>
  </si>
  <si>
    <t>10751/10752</t>
  </si>
  <si>
    <t>10753/10754</t>
  </si>
  <si>
    <t>10761/10762</t>
  </si>
  <si>
    <t>10763/10764</t>
  </si>
  <si>
    <t>6021/6022</t>
  </si>
  <si>
    <t>6023/6024</t>
  </si>
  <si>
    <t>Finandina CR 1</t>
  </si>
  <si>
    <t>Finandina CR 2</t>
  </si>
  <si>
    <t>Finandina DR 1</t>
  </si>
  <si>
    <t>Finandina DR 2</t>
  </si>
  <si>
    <t>Pago Automático In 3</t>
  </si>
  <si>
    <t>PA (PA - BASE24) Out 3</t>
  </si>
  <si>
    <t>iPay In 2</t>
  </si>
  <si>
    <t>iPay In 3</t>
  </si>
  <si>
    <t>iPay Out 2</t>
  </si>
  <si>
    <t>iPay Out 3</t>
  </si>
  <si>
    <t>Pago Automático In 4</t>
  </si>
  <si>
    <t>PA (PA - BASE24) Out 4</t>
  </si>
  <si>
    <t>Bancolombia DB 1</t>
  </si>
  <si>
    <t>Bancolombia DB 2</t>
  </si>
  <si>
    <t>Bancolombia DB 3</t>
  </si>
  <si>
    <t>Pto_red_in_01</t>
  </si>
  <si>
    <t>Pto_red_in_02</t>
  </si>
  <si>
    <t>Pto_red_out_01</t>
  </si>
  <si>
    <t>Pto_red_out_02</t>
  </si>
  <si>
    <t>10.95.6.254</t>
  </si>
  <si>
    <t>ETEK In 1</t>
  </si>
  <si>
    <t>ETEK In 2</t>
  </si>
  <si>
    <t>ETEK Out 1</t>
  </si>
  <si>
    <t>ETEK Out 2</t>
  </si>
  <si>
    <t>172.100.3.24</t>
  </si>
  <si>
    <t>PRODUCCION</t>
  </si>
  <si>
    <t>SUM_UP_in_01</t>
  </si>
  <si>
    <t>SUM_UP_in_02</t>
  </si>
  <si>
    <t>SUM_UP_out_01</t>
  </si>
  <si>
    <t>SUM_UP_out_02</t>
  </si>
  <si>
    <t>192.168.101.9</t>
  </si>
  <si>
    <t>MPOS Verifone In 1</t>
  </si>
  <si>
    <t>MPOS Verifone In 2</t>
  </si>
  <si>
    <t>MPOS Verifone In 3</t>
  </si>
  <si>
    <t>MPOS Verifone In 4</t>
  </si>
  <si>
    <t>MPOS Verifone Out 1</t>
  </si>
  <si>
    <t>MPOS Verifone Out 2</t>
  </si>
  <si>
    <t>MPOS Verifone Out 3</t>
  </si>
  <si>
    <t>MPOS Verifone Out 4</t>
  </si>
  <si>
    <t>10.1.5.70</t>
  </si>
  <si>
    <t>Ipay In 1</t>
  </si>
  <si>
    <t>Ipay In 2</t>
  </si>
  <si>
    <t>Ipay Out 1</t>
  </si>
  <si>
    <t>Ipay Out 2</t>
  </si>
  <si>
    <t>10.1.5.72</t>
  </si>
  <si>
    <t>Aviatur In 1</t>
  </si>
  <si>
    <t>Aviatur In 2</t>
  </si>
  <si>
    <t>Aviatur Out 1</t>
  </si>
  <si>
    <t>Aviatur Out 2</t>
  </si>
  <si>
    <t>10.1.5.71</t>
  </si>
  <si>
    <t>Davivienda In 1</t>
  </si>
  <si>
    <t>Davivienda In 2</t>
  </si>
  <si>
    <t>Davivienda In 3</t>
  </si>
  <si>
    <t>Davivienda In 4</t>
  </si>
  <si>
    <t>Davivienda Out 1</t>
  </si>
  <si>
    <t>Davivienda Out 2</t>
  </si>
  <si>
    <t>Davivienda Out 3</t>
  </si>
  <si>
    <t>Davivienda Out 4</t>
  </si>
  <si>
    <t>10.2.34.30</t>
  </si>
  <si>
    <t>10.122.138.55</t>
  </si>
  <si>
    <t>10.122.138.56</t>
  </si>
  <si>
    <t>172.17.95.3</t>
  </si>
  <si>
    <t>172.17.95.2</t>
  </si>
  <si>
    <t>172.19.209.56</t>
  </si>
  <si>
    <t>172.19.209.53</t>
  </si>
  <si>
    <t>10572/20572</t>
  </si>
  <si>
    <t>10573/20573</t>
  </si>
  <si>
    <t>10592/20592</t>
  </si>
  <si>
    <t>10593/20593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</si>
</sst>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Dialog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12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3" borderId="0" xfId="0" applyFill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0" fillId="0" borderId="8" xfId="0" applyFill="1" applyBorder="1"/>
    <xf numFmtId="0" fontId="0" fillId="0" borderId="8" xfId="0" applyFill="1" applyBorder="1" applyAlignment="1">
      <alignment horizontal="center" vertical="center"/>
    </xf>
    <xf numFmtId="0" fontId="0" fillId="0" borderId="11" xfId="0" applyFill="1" applyBorder="1"/>
    <xf numFmtId="0" fontId="0" fillId="0" borderId="1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3" xfId="0" applyFill="1" applyBorder="1"/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/>
    <xf numFmtId="0" fontId="1" fillId="2" borderId="1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0" borderId="7" xfId="0" applyFill="1" applyBorder="1"/>
    <xf numFmtId="0" fontId="0" fillId="0" borderId="10" xfId="0" applyFill="1" applyBorder="1"/>
    <xf numFmtId="0" fontId="0" fillId="0" borderId="11" xfId="0" quotePrefix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  <xf numFmtId="0" fontId="0" fillId="0" borderId="8" xfId="0" quotePrefix="1" applyFill="1" applyBorder="1" applyAlignment="1">
      <alignment horizontal="center" vertical="center"/>
    </xf>
    <xf numFmtId="0" fontId="0" fillId="0" borderId="11" xfId="0" applyBorder="1"/>
    <xf numFmtId="0" fontId="0" fillId="5" borderId="1" xfId="0" applyFill="1" applyBorder="1" applyAlignment="1">
      <alignment horizontal="center" vertical="center"/>
    </xf>
    <xf numFmtId="0" fontId="0" fillId="0" borderId="2" xfId="0" applyFill="1" applyBorder="1"/>
    <xf numFmtId="0" fontId="0" fillId="5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4" borderId="18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0" borderId="6" xfId="0" applyBorder="1"/>
    <xf numFmtId="0" fontId="0" fillId="0" borderId="9" xfId="0" applyBorder="1"/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right" vertical="center"/>
    </xf>
    <xf numFmtId="0" fontId="0" fillId="4" borderId="19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0" fillId="7" borderId="5" xfId="0" applyFill="1" applyBorder="1"/>
    <xf numFmtId="0" fontId="0" fillId="7" borderId="7" xfId="0" applyFill="1" applyBorder="1"/>
    <xf numFmtId="0" fontId="0" fillId="6" borderId="7" xfId="0" applyFill="1" applyBorder="1"/>
    <xf numFmtId="0" fontId="4" fillId="0" borderId="0" xfId="1"/>
    <xf numFmtId="0" fontId="5" fillId="0" borderId="0" xfId="1" applyFont="1" applyAlignment="1">
      <alignment horizontal="right"/>
    </xf>
    <xf numFmtId="3" fontId="0" fillId="0" borderId="8" xfId="0" quotePrefix="1" applyNumberFormat="1" applyFill="1" applyBorder="1" applyAlignment="1">
      <alignment horizontal="center" vertical="center"/>
    </xf>
    <xf numFmtId="0" fontId="0" fillId="8" borderId="5" xfId="0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/>
    <xf numFmtId="0" fontId="0" fillId="8" borderId="3" xfId="0" applyFill="1" applyBorder="1"/>
    <xf numFmtId="0" fontId="0" fillId="8" borderId="3" xfId="0" quotePrefix="1" applyFill="1" applyBorder="1" applyAlignment="1">
      <alignment horizontal="center" vertical="center"/>
    </xf>
    <xf numFmtId="0" fontId="0" fillId="8" borderId="7" xfId="0" applyFill="1" applyBorder="1"/>
    <xf numFmtId="0" fontId="0" fillId="8" borderId="8" xfId="0" applyFill="1" applyBorder="1"/>
    <xf numFmtId="0" fontId="0" fillId="8" borderId="8" xfId="0" quotePrefix="1" applyFill="1" applyBorder="1" applyAlignment="1">
      <alignment horizontal="center" vertical="center"/>
    </xf>
    <xf numFmtId="0" fontId="0" fillId="6" borderId="5" xfId="0" applyFill="1" applyBorder="1"/>
    <xf numFmtId="0" fontId="0" fillId="4" borderId="0" xfId="0" applyFill="1" applyAlignment="1"/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left" vertical="center"/>
    </xf>
    <xf numFmtId="0" fontId="3" fillId="6" borderId="19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0" fillId="7" borderId="2" xfId="0" applyFill="1" applyBorder="1"/>
    <xf numFmtId="0" fontId="0" fillId="0" borderId="3" xfId="0" quotePrefix="1" applyFill="1" applyBorder="1" applyAlignment="1">
      <alignment horizontal="center" vertical="center"/>
    </xf>
    <xf numFmtId="3" fontId="0" fillId="0" borderId="3" xfId="0" quotePrefix="1" applyNumberForma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left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2" xfId="0" applyFill="1" applyBorder="1"/>
    <xf numFmtId="0" fontId="0" fillId="0" borderId="19" xfId="0" applyFill="1" applyBorder="1"/>
    <xf numFmtId="0" fontId="0" fillId="0" borderId="19" xfId="0" applyBorder="1"/>
    <xf numFmtId="0" fontId="0" fillId="0" borderId="19" xfId="0" applyFill="1" applyBorder="1" applyAlignment="1">
      <alignment horizontal="center" vertical="center"/>
    </xf>
    <xf numFmtId="0" fontId="0" fillId="0" borderId="19" xfId="0" quotePrefix="1" applyFill="1" applyBorder="1" applyAlignment="1">
      <alignment horizontal="center" vertical="center"/>
    </xf>
    <xf numFmtId="0" fontId="0" fillId="8" borderId="23" xfId="0" applyFill="1" applyBorder="1"/>
    <xf numFmtId="0" fontId="0" fillId="8" borderId="24" xfId="0" applyFill="1" applyBorder="1"/>
    <xf numFmtId="0" fontId="0" fillId="8" borderId="24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0" fillId="7" borderId="22" xfId="0" applyFill="1" applyBorder="1"/>
    <xf numFmtId="0" fontId="0" fillId="0" borderId="20" xfId="0" applyBorder="1"/>
    <xf numFmtId="0" fontId="0" fillId="6" borderId="2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31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6" borderId="10" xfId="0" applyFill="1" applyBorder="1"/>
    <xf numFmtId="0" fontId="0" fillId="0" borderId="0" xfId="0" applyAlignment="1">
      <alignment horizontal="left" indent="1"/>
    </xf>
    <xf numFmtId="20" fontId="0" fillId="0" borderId="0" xfId="0" applyNumberFormat="1"/>
    <xf numFmtId="0" fontId="0" fillId="0" borderId="34" xfId="0" applyFill="1" applyBorder="1"/>
    <xf numFmtId="0" fontId="0" fillId="7" borderId="10" xfId="0" applyFill="1" applyBorder="1"/>
    <xf numFmtId="0" fontId="0" fillId="9" borderId="0" xfId="0" applyFill="1" applyAlignme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470" refreshedDate="44390.525968518516" createdVersion="6" refreshedVersion="6" minRefreshableVersion="3" recordCount="153" xr:uid="{00000000-000A-0000-FFFF-FFFF00000000}">
  <cacheSource type="worksheet">
    <worksheetSource name="=TEST"/>
  </cacheSource>
  <cacheFields count="17">
    <cacheField name="ROUTER" numFmtId="0">
      <sharedItems containsString="0" containsBlank="1" containsNumber="1" containsInteger="1" minValue="1" maxValue="35" count="36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19" u="1"/>
        <n v="20" u="1"/>
      </sharedItems>
    </cacheField>
    <cacheField name="Descripción" numFmtId="0">
      <sharedItems containsBlank="1" count="141">
        <m/>
        <s v="Bancolombia VISA (FiServ) 1"/>
        <s v="Bancolombia VISA (FiServ) 2"/>
        <s v="AMEX COLPATRIA PT In 1"/>
        <s v="AMEX COLPATRIA PT In 2"/>
        <s v="AMEX COLPATRIA PT Out 1"/>
        <s v="AMEX COLPATRIA PT Out 2"/>
        <s v="AMEX BANCOLOMBIA EMISOR PT Out 1"/>
        <s v="AMEX BANCOLOMBIA EMISOR PT Out 2"/>
        <s v="AMEX BANCOLOMBIA ADQUIRIENTE PT Out 1"/>
        <s v="AMEX BANCOLOMBIA ADQUIRIENTE PT Out 2"/>
        <s v="RBM (B24-SV) ADQUIRIENTE PT In"/>
        <s v="RBM (B24-SV) ADQUIRIENTE PT Out"/>
        <s v="RBM (SV-RBM) ADQUIRIENTE PT Out"/>
        <s v="RBM (SV-RBM) ADQUIRIENTE PT In"/>
        <s v="RBM (B24-SV) EMISOR PT In"/>
        <s v="RBM (B24-SV) EMISOR PT Out"/>
        <s v="RBM (SV-RBM) EMISOR PT Out"/>
        <s v="RBM (SV-RBM) EMISOR PT In"/>
        <s v="Red ATM CBCO in 1"/>
        <s v="Red ATM CBCO in 2"/>
        <s v="BANCO BOGOTA DB"/>
        <s v="BANCO MEGABANCO"/>
        <s v="BANCO BOGOTA CR Fiserv"/>
        <s v="BANCO BOGOTA CR"/>
        <s v="ELECTRON MEGABANCO"/>
        <s v="BANCO BOGOTA MEGABANCO"/>
        <s v="Suda CR Sig TEST 1"/>
        <s v="Suda CR Sig TEST 2"/>
        <s v="Suda CR (0112) TEST 1"/>
        <s v="Suda CR (0112) TEST 2"/>
        <s v="Suda Cavipetro TEST 1"/>
        <s v="Suda Cavipetro TEST 2"/>
        <s v="Suda PL (1112) TEST 1"/>
        <s v="Suda PL (1112) TEST 2"/>
        <s v="DAVIVIEN DN Cr 1"/>
        <s v="DAVIVIEN DN Cr 2"/>
        <s v="DAVIVIEN V Cr 1"/>
        <s v="DAVIVIEN V Cr 2"/>
        <s v="DAVIVIEN RAPPI 1"/>
        <s v="DAVIVIEN RAPPI 2"/>
        <s v="DAVIVIEN Db 1"/>
        <s v="DAVIVIEN Db 2"/>
        <s v="DAVIVIEN V Db 1"/>
        <s v="DAVIVIEN V Db 2"/>
        <s v="DING Tecnipagos in 1"/>
        <s v="DING Tecnipagos in 2"/>
        <s v="BUS Pasarelas 1"/>
        <s v="BUS Pasarleas 2"/>
        <s v="B24 Pasarelas 1 "/>
        <s v="B24 Pasarelas 2"/>
        <s v="Red ATM BBVA in 1"/>
        <s v="Red ATM BBVA in 2"/>
        <s v="Red ATM BBVA in 3"/>
        <s v="Red ATM BBVA in 4"/>
        <s v="Red ATM BBVA-B2 out 1"/>
        <s v="Red ATM BBVA-B2 out 2"/>
        <s v="Red ATM BBVA-B2 out 3"/>
        <s v="Red ATM BBVA-B2 out 4"/>
        <s v="BBVA CR P2C^HIS0013"/>
        <s v="Credivalores in 1"/>
        <s v="Credivalores in 2"/>
        <s v="PEDRALBES_1"/>
        <s v="PEDRALBES_2"/>
        <s v="PEDRALBES B24_1"/>
        <s v="PEDRALBES B24_2"/>
        <s v="Base24-call_N1"/>
        <s v="Base24-call_N2"/>
        <s v="IVR In 1"/>
        <s v="IVR In 2"/>
        <s v="IVR B24 Out 1"/>
        <s v="IVR B24 Out 2"/>
        <s v="Red ATM ATH out 1"/>
        <s v="Red ATM ATH in 1"/>
        <s v="Red ATM ATH out 2"/>
        <s v="juriscoop CR 1"/>
        <s v="juriscoop CR 2"/>
        <s v="juriscoop DR 1"/>
        <s v="juriscoop DR 2"/>
        <s v="Cencosud In 1"/>
        <s v="Cencosud Out 1"/>
        <s v="Itau In 1"/>
        <s v="Itau In 2"/>
        <s v="Itau Out 1"/>
        <s v="Itau Out 2"/>
        <s v="PRM_SVFE_N1 35219"/>
        <s v="AV VILLAS IN 1"/>
        <s v="AV VILLAS IN 2"/>
        <s v="Occident P2C^HIS9023 1"/>
        <s v="Occident P2C^HIS9023 2"/>
        <s v="Occi P2C^HISO6023 1"/>
        <s v="Occi P2C^HISO6023 2"/>
        <s v="Bancolombia MC 1"/>
        <s v="Bancolombia MC 2"/>
        <s v="Bancolombia MC 3"/>
        <s v="BUS QR In 1"/>
        <s v="BUS QR In 2"/>
        <s v="B24 QR Out 1"/>
        <s v="B24 QR Out 2"/>
        <s v="Base24-POS-01"/>
        <s v="Base24-POS-02"/>
        <s v="Base24-POS-03"/>
        <s v="Base24-POS-04"/>
        <s v="Base24-POS-05"/>
        <s v="Base24-POS-06"/>
        <s v="Base24-POS-07"/>
        <s v="Base24-POS-08"/>
        <s v="Base24-POS-09"/>
        <s v="Base24-POS-10"/>
        <s v="Base24-POS-11"/>
        <s v="Base24-POS-12"/>
        <s v="Base24-POS-13"/>
        <s v="Base24-POS-14"/>
        <s v="Base24-POS-15"/>
        <s v="Base24-POS-16"/>
        <s v="Base24-POS-17"/>
        <s v="Base24-POS-18"/>
        <s v="Base24-POS-19"/>
        <s v="Base24-POS-20"/>
        <s v="Base24-POS-21"/>
        <s v="Base24-POS-22"/>
        <s v="Base24-POS-23"/>
        <s v="Base24-POS-24"/>
        <s v="Base24-POS-25"/>
        <s v="Base24-POS-26"/>
        <s v="Base24-POS-27"/>
        <s v="Base24-POS-28"/>
        <s v="Base24-POS-29"/>
        <s v="Base24-POS-30"/>
        <s v="Base24-POS-31"/>
        <s v="Base24-POS-32"/>
        <s v="Base24-POS-33"/>
        <s v="Base24-POS-34"/>
        <s v="Base24-POS-35"/>
        <s v="Base24-POS-36"/>
        <s v="ETEK_01"/>
        <s v="ETEK_02"/>
        <s v="ETEK B24_1"/>
        <s v="ETEK B24_2"/>
        <s v="Bancolombia AMEX (FiServ) 1"/>
        <s v="Bancolombia AMEX (FiServ) 2"/>
      </sharedItems>
    </cacheField>
    <cacheField name="HABILITADA" numFmtId="0">
      <sharedItems count="2">
        <s v="N"/>
        <s v="S"/>
      </sharedItems>
    </cacheField>
    <cacheField name="Regla" numFmtId="0">
      <sharedItems containsString="0" containsBlank="1" containsNumber="1" containsInteger="1" minValue="1" maxValue="8"/>
    </cacheField>
    <cacheField name="PID" numFmtId="0">
      <sharedItems containsBlank="1" containsMixedTypes="1" containsNumber="1" containsInteger="1" minValue="219" maxValue="13302"/>
    </cacheField>
    <cacheField name="Modo SV" numFmtId="0">
      <sharedItems containsBlank="1"/>
    </cacheField>
    <cacheField name="IP Origen" numFmtId="0">
      <sharedItems containsBlank="1"/>
    </cacheField>
    <cacheField name="Header Externo" numFmtId="0">
      <sharedItems containsBlank="1"/>
    </cacheField>
    <cacheField name="IP Destino" numFmtId="0">
      <sharedItems containsBlank="1"/>
    </cacheField>
    <cacheField name="Puerto Destino" numFmtId="0">
      <sharedItems containsString="0" containsBlank="1" containsNumber="1" containsInteger="1" minValue="1152" maxValue="35904"/>
    </cacheField>
    <cacheField name="Header Interno" numFmtId="0">
      <sharedItems containsBlank="1"/>
    </cacheField>
    <cacheField name="Nodo 1" numFmtId="0">
      <sharedItems containsBlank="1"/>
    </cacheField>
    <cacheField name="Puerto N1" numFmtId="0">
      <sharedItems containsBlank="1" containsMixedTypes="1" containsNumber="1" containsInteger="1" minValue="5218" maxValue="58811"/>
    </cacheField>
    <cacheField name="Nodo 2" numFmtId="0">
      <sharedItems containsBlank="1"/>
    </cacheField>
    <cacheField name="Puerto N2" numFmtId="0">
      <sharedItems containsString="0" containsBlank="1" containsNumber="1" containsInteger="1" minValue="5219" maxValue="5219"/>
    </cacheField>
    <cacheField name="plugin" numFmtId="0">
      <sharedItems containsBlank="1"/>
    </cacheField>
    <cacheField name="Cierre de Regla (Última regla no lleva última coma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3">
  <r>
    <x v="0"/>
    <x v="0"/>
    <x v="0"/>
    <m/>
    <m/>
    <m/>
    <m/>
    <m/>
    <m/>
    <m/>
    <m/>
    <m/>
    <m/>
    <m/>
    <m/>
    <m/>
    <m/>
  </r>
  <r>
    <x v="1"/>
    <x v="0"/>
    <x v="0"/>
    <m/>
    <m/>
    <m/>
    <m/>
    <m/>
    <m/>
    <m/>
    <s v="2/iBHb2"/>
    <s v="172.19.207.40"/>
    <n v="5218"/>
    <m/>
    <m/>
    <m/>
    <s v="}}},"/>
  </r>
  <r>
    <x v="0"/>
    <x v="0"/>
    <x v="1"/>
    <m/>
    <m/>
    <m/>
    <m/>
    <m/>
    <m/>
    <m/>
    <m/>
    <m/>
    <m/>
    <m/>
    <m/>
    <m/>
    <m/>
  </r>
  <r>
    <x v="1"/>
    <x v="1"/>
    <x v="1"/>
    <n v="1"/>
    <s v="10317"/>
    <s v="server"/>
    <s v="172.16.27.50"/>
    <s v="iBHb2"/>
    <m/>
    <n v="6103"/>
    <s v="iBHb2"/>
    <s v="172.29.9.67"/>
    <n v="36103"/>
    <m/>
    <m/>
    <s v="slb_plugin_rm_biciso.so"/>
    <s v="}},"/>
  </r>
  <r>
    <x v="0"/>
    <x v="2"/>
    <x v="1"/>
    <n v="2"/>
    <s v="10318"/>
    <s v="server"/>
    <s v="172.16.27.50"/>
    <s v="iBHb2"/>
    <m/>
    <n v="7103"/>
    <s v="iBHb2"/>
    <s v="172.29.9.67"/>
    <n v="37103"/>
    <m/>
    <m/>
    <s v="slb_plugin_rm_biciso.so"/>
    <s v="}}}},"/>
  </r>
  <r>
    <x v="2"/>
    <x v="3"/>
    <x v="0"/>
    <n v="1"/>
    <s v="503"/>
    <s v="server"/>
    <s v="172.19.207.40"/>
    <s v="iBHb2"/>
    <m/>
    <n v="35903"/>
    <s v="iBHb2"/>
    <s v="172.29.9.67"/>
    <n v="25903"/>
    <m/>
    <m/>
    <s v="slb_plugin_rm_amex.so"/>
    <s v="}},"/>
  </r>
  <r>
    <x v="0"/>
    <x v="4"/>
    <x v="0"/>
    <n v="2"/>
    <s v="504"/>
    <s v="server"/>
    <s v="172.19.207.40"/>
    <s v="iBHb2"/>
    <m/>
    <n v="35904"/>
    <s v="iBHb2"/>
    <s v="172.29.9.67"/>
    <n v="25904"/>
    <m/>
    <m/>
    <s v="slb_plugin_rm_amex.so"/>
    <s v="}},"/>
  </r>
  <r>
    <x v="0"/>
    <x v="5"/>
    <x v="0"/>
    <n v="3"/>
    <s v="903"/>
    <s v="client"/>
    <m/>
    <s v="iBHb2"/>
    <s v="172.19.209.58"/>
    <n v="35903"/>
    <s v="iBHb2"/>
    <s v="172.29.9.67"/>
    <n v="55903"/>
    <m/>
    <m/>
    <s v="slb_plugin_rm_amex.so"/>
    <s v="}},"/>
  </r>
  <r>
    <x v="0"/>
    <x v="6"/>
    <x v="0"/>
    <n v="4"/>
    <s v="904"/>
    <s v="client"/>
    <m/>
    <s v="iBHb2"/>
    <s v="172.19.209.58"/>
    <n v="35904"/>
    <s v="iBHb2"/>
    <s v="172.29.9.67"/>
    <n v="55904"/>
    <m/>
    <m/>
    <s v="slb_plugin_rm_amex.so"/>
    <s v="}}}},"/>
  </r>
  <r>
    <x v="3"/>
    <x v="7"/>
    <x v="0"/>
    <n v="1"/>
    <s v="168"/>
    <s v="client"/>
    <m/>
    <s v="iBHb2"/>
    <s v="172.19.209.58"/>
    <n v="35168"/>
    <s v="iBHb2"/>
    <s v="172.29.9.67"/>
    <n v="55168"/>
    <m/>
    <m/>
    <s v="slb_plugin_rm_amex.so"/>
    <s v="}},"/>
  </r>
  <r>
    <x v="0"/>
    <x v="8"/>
    <x v="0"/>
    <n v="2"/>
    <s v="169"/>
    <s v="client"/>
    <m/>
    <s v="iBHb2"/>
    <s v="172.19.209.58"/>
    <n v="35169"/>
    <s v="iBHb2"/>
    <s v="172.29.9.67"/>
    <n v="55169"/>
    <m/>
    <m/>
    <s v="slb_plugin_rm_amex.so"/>
    <s v="}},"/>
  </r>
  <r>
    <x v="3"/>
    <x v="9"/>
    <x v="1"/>
    <n v="3"/>
    <s v="394"/>
    <s v="client"/>
    <m/>
    <s v="iBHb2"/>
    <s v="172.19.209.58"/>
    <n v="30094"/>
    <s v="iBHb2"/>
    <s v="172.29.9.67"/>
    <n v="50094"/>
    <m/>
    <m/>
    <s v="slb_plugin_rm_amex.so"/>
    <s v="}}}},"/>
  </r>
  <r>
    <x v="0"/>
    <x v="10"/>
    <x v="0"/>
    <n v="4"/>
    <s v="395"/>
    <s v="client"/>
    <m/>
    <s v="iBHb2"/>
    <s v="172.19.209.58"/>
    <n v="30095"/>
    <s v="iBHb2"/>
    <s v="172.29.9.67"/>
    <n v="50095"/>
    <m/>
    <m/>
    <s v="slb_plugin_rm_amex.so"/>
    <s v="}}}},"/>
  </r>
  <r>
    <x v="4"/>
    <x v="11"/>
    <x v="0"/>
    <n v="1"/>
    <s v="296"/>
    <s v="server"/>
    <s v="172.19.207.40"/>
    <s v="iBHb2"/>
    <m/>
    <n v="12606"/>
    <s v="iBHb2"/>
    <s v="172.29.9.67"/>
    <n v="32606"/>
    <m/>
    <m/>
    <s v="slb_plugin_rm_biciso.so"/>
    <s v="}},"/>
  </r>
  <r>
    <x v="0"/>
    <x v="12"/>
    <x v="0"/>
    <n v="2"/>
    <s v="3401"/>
    <s v="client"/>
    <m/>
    <s v="iBHb2"/>
    <s v="172.19.207.40"/>
    <n v="3011"/>
    <s v="iBHb2"/>
    <s v="172.29.9.67"/>
    <n v="33011"/>
    <m/>
    <m/>
    <s v="slb_plugin_rm_biciso.so"/>
    <s v="}},"/>
  </r>
  <r>
    <x v="0"/>
    <x v="13"/>
    <x v="0"/>
    <n v="3"/>
    <s v="295"/>
    <s v="client"/>
    <m/>
    <s v="iBHb2"/>
    <s v="172.17.96.1"/>
    <n v="12606"/>
    <s v="iBHb2"/>
    <s v="172.29.9.67"/>
    <n v="52606"/>
    <m/>
    <m/>
    <s v="slb_plugin_rm_biciso.so"/>
    <s v="}},"/>
  </r>
  <r>
    <x v="0"/>
    <x v="14"/>
    <x v="0"/>
    <n v="4"/>
    <s v="3411"/>
    <s v="server"/>
    <s v="172.17.96.1"/>
    <s v="iBHb2"/>
    <m/>
    <n v="3111"/>
    <s v="iBHb2"/>
    <s v="172.29.9.67"/>
    <n v="53111"/>
    <m/>
    <m/>
    <s v="slb_plugin_rm_biciso.so"/>
    <s v="}},"/>
  </r>
  <r>
    <x v="0"/>
    <x v="15"/>
    <x v="0"/>
    <n v="5"/>
    <n v="2296"/>
    <s v="server"/>
    <s v="172.19.207.40"/>
    <s v="iBHb2"/>
    <m/>
    <n v="12605"/>
    <s v="iBHb2"/>
    <s v="172.29.9.67"/>
    <n v="32605"/>
    <m/>
    <m/>
    <s v="slb_plugin_rm_biciso.so"/>
    <s v="}},"/>
  </r>
  <r>
    <x v="0"/>
    <x v="16"/>
    <x v="0"/>
    <n v="6"/>
    <s v="401"/>
    <s v="client"/>
    <m/>
    <s v="iBHb2"/>
    <s v="172.19.207.40"/>
    <n v="4011"/>
    <s v="iBHb2"/>
    <s v="172.29.9.67"/>
    <n v="34011"/>
    <m/>
    <m/>
    <s v="slb_plugin_rm_biciso.so"/>
    <s v="}},"/>
  </r>
  <r>
    <x v="0"/>
    <x v="17"/>
    <x v="0"/>
    <n v="7"/>
    <s v="2295"/>
    <s v="client"/>
    <m/>
    <s v="iBHb2"/>
    <s v="172.17.96.1"/>
    <n v="12605"/>
    <s v="iBHb2"/>
    <s v="172.29.9.67"/>
    <n v="52605"/>
    <m/>
    <m/>
    <s v="slb_plugin_rm_biciso.so"/>
    <s v="}},"/>
  </r>
  <r>
    <x v="0"/>
    <x v="18"/>
    <x v="0"/>
    <n v="8"/>
    <s v="411"/>
    <s v="server"/>
    <s v="172.17.96.1"/>
    <s v="iBHb2"/>
    <m/>
    <n v="4111"/>
    <s v="iBHb2"/>
    <s v="172.29.9.67"/>
    <n v="54111"/>
    <m/>
    <m/>
    <s v="slb_plugin_rm_biciso.so"/>
    <s v="}}}},"/>
  </r>
  <r>
    <x v="5"/>
    <x v="19"/>
    <x v="1"/>
    <n v="1"/>
    <s v="6021"/>
    <s v="server"/>
    <s v="172.26.38.18"/>
    <s v="iBHb2"/>
    <m/>
    <n v="2218"/>
    <s v="iBHb2"/>
    <s v="172.29.9.67"/>
    <n v="32218"/>
    <m/>
    <m/>
    <s v="slb_plugin_rm_biciso.so"/>
    <s v="}},"/>
  </r>
  <r>
    <x v="0"/>
    <x v="20"/>
    <x v="1"/>
    <n v="2"/>
    <s v="6022"/>
    <s v="server"/>
    <s v="172.26.38.18"/>
    <s v="iBHb2"/>
    <m/>
    <n v="3218"/>
    <s v="iBHb2"/>
    <s v="172.29.9.67"/>
    <n v="33218"/>
    <m/>
    <m/>
    <s v="slb_plugin_rm_biciso.so"/>
    <s v="}}}},"/>
  </r>
  <r>
    <x v="6"/>
    <x v="21"/>
    <x v="1"/>
    <n v="1"/>
    <n v="11609"/>
    <s v="server"/>
    <s v="10.2.1.18"/>
    <s v="iBHb2"/>
    <m/>
    <n v="2901"/>
    <s v="iBHb2"/>
    <s v="172.29.9.67"/>
    <n v="32901"/>
    <m/>
    <m/>
    <s v="slb_plugin_rm_biciso.so"/>
    <s v="}},"/>
  </r>
  <r>
    <x v="0"/>
    <x v="21"/>
    <x v="1"/>
    <n v="2"/>
    <n v="11610"/>
    <s v="server"/>
    <s v="10.2.1.18"/>
    <s v="iBHb2"/>
    <m/>
    <n v="2201"/>
    <s v="iBHb2"/>
    <s v="172.29.9.67"/>
    <n v="32201"/>
    <m/>
    <m/>
    <s v="slb_plugin_rm_biciso.so"/>
    <s v="}},"/>
  </r>
  <r>
    <x v="0"/>
    <x v="21"/>
    <x v="1"/>
    <n v="3"/>
    <n v="11613"/>
    <s v="server"/>
    <s v="10.1.3.17"/>
    <s v="iBHb2"/>
    <m/>
    <n v="5901"/>
    <s v="iBHb2"/>
    <s v="172.29.9.67"/>
    <n v="35901"/>
    <m/>
    <m/>
    <s v="slb_plugin_rm_biciso.so"/>
    <s v="}},"/>
  </r>
  <r>
    <x v="0"/>
    <x v="21"/>
    <x v="1"/>
    <n v="4"/>
    <n v="11614"/>
    <s v="server"/>
    <s v="10.1.3.18"/>
    <s v="iBHb2"/>
    <m/>
    <n v="5201"/>
    <s v="iBHb2"/>
    <s v="172.29.9.67"/>
    <n v="35201"/>
    <m/>
    <m/>
    <s v="slb_plugin_rm_biciso.so"/>
    <s v="}},"/>
  </r>
  <r>
    <x v="0"/>
    <x v="21"/>
    <x v="1"/>
    <n v="5"/>
    <n v="11617"/>
    <s v="server"/>
    <s v="10.2.1.18"/>
    <s v="iBHb2"/>
    <m/>
    <n v="6901"/>
    <s v="iBHb2"/>
    <s v="172.29.9.67"/>
    <n v="36901"/>
    <m/>
    <m/>
    <s v="slb_plugin_rm_biciso.so"/>
    <s v="}},"/>
  </r>
  <r>
    <x v="0"/>
    <x v="21"/>
    <x v="1"/>
    <n v="6"/>
    <n v="11618"/>
    <s v="server"/>
    <s v="10.2.1.18"/>
    <s v="iBHb2"/>
    <m/>
    <n v="6201"/>
    <s v="iBHb2"/>
    <s v="172.29.9.67"/>
    <n v="36201"/>
    <m/>
    <m/>
    <s v="slb_plugin_rm_biciso.so"/>
    <s v="}}}},"/>
  </r>
  <r>
    <x v="7"/>
    <x v="22"/>
    <x v="1"/>
    <n v="1"/>
    <n v="11621"/>
    <s v="server"/>
    <s v="10.2.1.18"/>
    <s v="BHb2"/>
    <m/>
    <n v="3001"/>
    <s v="BHb2"/>
    <s v="172.29.9.67"/>
    <n v="33001"/>
    <m/>
    <m/>
    <s v="slb_plugin_rm_biciso.so"/>
    <s v="}},"/>
  </r>
  <r>
    <x v="0"/>
    <x v="23"/>
    <x v="1"/>
    <n v="2"/>
    <n v="11601"/>
    <s v="server"/>
    <s v="172.16.27.50"/>
    <s v="iBHb2"/>
    <m/>
    <n v="2701"/>
    <s v="iBHb2"/>
    <s v="172.29.9.67"/>
    <n v="32701"/>
    <m/>
    <m/>
    <s v="slb_plugin_rm_biciso.so"/>
    <s v="}},"/>
  </r>
  <r>
    <x v="0"/>
    <x v="23"/>
    <x v="1"/>
    <n v="3"/>
    <n v="11602"/>
    <s v="server"/>
    <s v="172.16.27.50"/>
    <s v="iBHb2"/>
    <m/>
    <n v="3701"/>
    <s v="iBHb2"/>
    <s v="172.29.9.67"/>
    <n v="33701"/>
    <m/>
    <m/>
    <s v="slb_plugin_rm_biciso.so"/>
    <s v="}},"/>
  </r>
  <r>
    <x v="0"/>
    <x v="24"/>
    <x v="1"/>
    <n v="4"/>
    <n v="11623"/>
    <s v="server"/>
    <s v="10.2.1.18"/>
    <s v="iBHb2"/>
    <m/>
    <n v="2001"/>
    <s v="iBHb2"/>
    <s v="172.29.9.67"/>
    <n v="32001"/>
    <m/>
    <m/>
    <s v="slb_plugin_rm_biciso.so"/>
    <s v="}},"/>
  </r>
  <r>
    <x v="0"/>
    <x v="24"/>
    <x v="1"/>
    <n v="5"/>
    <n v="11624"/>
    <s v="server"/>
    <s v="10.2.1.18"/>
    <s v="iBHb2"/>
    <m/>
    <n v="2301"/>
    <s v="iBHb2"/>
    <s v="172.29.9.67"/>
    <n v="32301"/>
    <m/>
    <m/>
    <s v="slb_plugin_rm_biciso.so"/>
    <s v="}},"/>
  </r>
  <r>
    <x v="0"/>
    <x v="25"/>
    <x v="1"/>
    <n v="6"/>
    <n v="11625"/>
    <s v="server"/>
    <s v="10.2.1.18"/>
    <s v="iBHb2"/>
    <m/>
    <n v="3901"/>
    <s v="iBHb2"/>
    <s v="172.29.9.67"/>
    <n v="33901"/>
    <m/>
    <m/>
    <s v="slb_plugin_rm_biciso.so"/>
    <s v="}},"/>
  </r>
  <r>
    <x v="0"/>
    <x v="26"/>
    <x v="1"/>
    <n v="7"/>
    <n v="11627"/>
    <s v="server"/>
    <s v="10.2.1.18"/>
    <s v="iBHb2"/>
    <m/>
    <n v="1960"/>
    <s v="iBHb2"/>
    <s v="172.29.9.67"/>
    <n v="31960"/>
    <m/>
    <m/>
    <s v="slb_plugin_rm_biciso.so"/>
    <s v="}},"/>
  </r>
  <r>
    <x v="0"/>
    <x v="26"/>
    <x v="1"/>
    <n v="8"/>
    <n v="11628"/>
    <s v="server"/>
    <s v="10.2.1.18"/>
    <s v="iBHb2"/>
    <m/>
    <n v="9600"/>
    <s v="iBHb2"/>
    <s v="172.29.9.67"/>
    <n v="39600"/>
    <m/>
    <m/>
    <s v="slb_plugin_rm_biciso.so"/>
    <s v="}}}},"/>
  </r>
  <r>
    <x v="8"/>
    <x v="27"/>
    <x v="1"/>
    <n v="1"/>
    <s v="11761"/>
    <s v="server"/>
    <s v="0.0.0.0"/>
    <s v="iBHb2"/>
    <m/>
    <n v="4112"/>
    <s v="iBHb2"/>
    <s v="172.29.9.67"/>
    <n v="34112"/>
    <m/>
    <m/>
    <s v="slb_plugin_rm_biciso.so"/>
    <s v="}},"/>
  </r>
  <r>
    <x v="0"/>
    <x v="28"/>
    <x v="1"/>
    <n v="2"/>
    <s v="11762"/>
    <s v="server"/>
    <s v="0.0.0.0"/>
    <s v="iBHb2"/>
    <m/>
    <n v="4212"/>
    <s v="iBHb2"/>
    <s v="172.29.9.67"/>
    <n v="34212"/>
    <m/>
    <m/>
    <s v="slb_plugin_rm_biciso.so"/>
    <s v="}},"/>
  </r>
  <r>
    <x v="0"/>
    <x v="29"/>
    <x v="1"/>
    <n v="3"/>
    <n v="11771"/>
    <s v="server"/>
    <s v="0.0.0.0"/>
    <s v="iBHb2"/>
    <m/>
    <n v="2212"/>
    <s v="iBHb2"/>
    <s v="172.29.9.67"/>
    <n v="32212"/>
    <m/>
    <m/>
    <s v="slb_plugin_rm_biciso.so"/>
    <s v="}},"/>
  </r>
  <r>
    <x v="0"/>
    <x v="30"/>
    <x v="1"/>
    <n v="4"/>
    <n v="11772"/>
    <s v="server"/>
    <s v="0.0.0.0"/>
    <s v="iBHb2"/>
    <m/>
    <n v="2312"/>
    <s v="iBHb2"/>
    <s v="172.29.9.67"/>
    <n v="32312"/>
    <m/>
    <m/>
    <s v="slb_plugin_rm_biciso.so"/>
    <s v="}},"/>
  </r>
  <r>
    <x v="0"/>
    <x v="31"/>
    <x v="1"/>
    <n v="5"/>
    <n v="11781"/>
    <s v="server"/>
    <s v="0.0.0.0"/>
    <s v="iBHb2"/>
    <m/>
    <n v="4012"/>
    <s v="iBHb2"/>
    <s v="172.29.9.67"/>
    <n v="34012"/>
    <m/>
    <m/>
    <s v="slb_plugin_rm_biciso.so"/>
    <s v="}},"/>
  </r>
  <r>
    <x v="0"/>
    <x v="32"/>
    <x v="1"/>
    <n v="6"/>
    <n v="11782"/>
    <s v="server"/>
    <s v="0.0.0.0"/>
    <s v="iBHb2"/>
    <m/>
    <n v="5012"/>
    <s v="iBHb2"/>
    <s v="172.29.9.67"/>
    <n v="35012"/>
    <m/>
    <m/>
    <s v="slb_plugin_rm_biciso.so"/>
    <s v="}},"/>
  </r>
  <r>
    <x v="0"/>
    <x v="33"/>
    <x v="1"/>
    <n v="7"/>
    <n v="11791"/>
    <s v="server"/>
    <s v="0.0.0.0"/>
    <s v="iBHb2"/>
    <m/>
    <n v="3212"/>
    <s v="iBHb2"/>
    <s v="172.29.9.67"/>
    <n v="33212"/>
    <m/>
    <m/>
    <s v="slb_plugin_rm_biciso.so"/>
    <s v="}},"/>
  </r>
  <r>
    <x v="0"/>
    <x v="34"/>
    <x v="1"/>
    <n v="8"/>
    <n v="11792"/>
    <s v="server"/>
    <s v="0.0.0.0"/>
    <s v="iBHb2"/>
    <m/>
    <n v="3312"/>
    <s v="iBHb2"/>
    <s v="172.29.9.67"/>
    <n v="33312"/>
    <m/>
    <m/>
    <s v="slb_plugin_rm_biciso.so"/>
    <s v="}}}},"/>
  </r>
  <r>
    <x v="9"/>
    <x v="35"/>
    <x v="0"/>
    <n v="1"/>
    <n v="10751"/>
    <s v="server"/>
    <s v="0.0.0.0"/>
    <s v="iBHb2"/>
    <m/>
    <n v="6234"/>
    <s v="iBHb2"/>
    <s v="172.29.9.67"/>
    <n v="36234"/>
    <m/>
    <m/>
    <s v="slb_plugin_rm_biciso.so"/>
    <s v="}},"/>
  </r>
  <r>
    <x v="0"/>
    <x v="36"/>
    <x v="0"/>
    <n v="2"/>
    <n v="10752"/>
    <s v="server"/>
    <s v="0.0.0.0"/>
    <s v="iBHb2"/>
    <m/>
    <n v="7234"/>
    <s v="iBHb2"/>
    <s v="172.29.9.67"/>
    <n v="37234"/>
    <m/>
    <m/>
    <s v="slb_plugin_rm_biciso.so"/>
    <s v="}},"/>
  </r>
  <r>
    <x v="0"/>
    <x v="37"/>
    <x v="0"/>
    <n v="3"/>
    <s v="10761"/>
    <s v="server"/>
    <s v="0.0.0.0"/>
    <s v="iBHb2"/>
    <m/>
    <n v="8151"/>
    <s v="iBHb2"/>
    <s v="172.29.9.67"/>
    <n v="38151"/>
    <m/>
    <m/>
    <s v="slb_plugin_rm_biciso.so"/>
    <s v="}},"/>
  </r>
  <r>
    <x v="0"/>
    <x v="38"/>
    <x v="0"/>
    <n v="4"/>
    <s v="10762"/>
    <s v="server"/>
    <s v="0.0.0.0"/>
    <s v="iBHb2"/>
    <m/>
    <n v="9151"/>
    <s v="iBHb2"/>
    <s v="172.29.9.67"/>
    <n v="39151"/>
    <m/>
    <m/>
    <s v="slb_plugin_rm_biciso.so"/>
    <s v="}},"/>
  </r>
  <r>
    <x v="0"/>
    <x v="39"/>
    <x v="0"/>
    <n v="5"/>
    <n v="10771"/>
    <s v="server"/>
    <s v="10.2.103.3"/>
    <s v="iBHb2"/>
    <m/>
    <n v="6951"/>
    <s v="iBHb2"/>
    <s v="172.29.9.67"/>
    <n v="36951"/>
    <m/>
    <m/>
    <s v="slb_plugin_rm_biciso.so"/>
    <s v="}},"/>
  </r>
  <r>
    <x v="0"/>
    <x v="40"/>
    <x v="0"/>
    <n v="6"/>
    <n v="10772"/>
    <s v="server"/>
    <s v="10.2.103.3"/>
    <s v="iBHb2"/>
    <m/>
    <n v="7951"/>
    <s v="iBHb2"/>
    <s v="172.29.9.67"/>
    <n v="37951"/>
    <m/>
    <m/>
    <s v="slb_plugin_rm_biciso.so"/>
    <s v="}},"/>
  </r>
  <r>
    <x v="9"/>
    <x v="41"/>
    <x v="1"/>
    <n v="1"/>
    <n v="10721"/>
    <s v="server"/>
    <s v="0.0.0.0"/>
    <s v="iBHb2"/>
    <m/>
    <n v="5234"/>
    <s v="iBHb2"/>
    <s v="172.29.9.67"/>
    <n v="35234"/>
    <m/>
    <m/>
    <s v="slb_plugin_rm_biciso.so"/>
    <s v="}},"/>
  </r>
  <r>
    <x v="0"/>
    <x v="42"/>
    <x v="1"/>
    <n v="2"/>
    <n v="10722"/>
    <s v="server"/>
    <s v="0.0.0.0"/>
    <s v="iBHb2"/>
    <m/>
    <n v="4234"/>
    <s v="iBHb2"/>
    <s v="172.29.9.67"/>
    <n v="34234"/>
    <m/>
    <m/>
    <s v="slb_plugin_rm_biciso.so"/>
    <s v="}},"/>
  </r>
  <r>
    <x v="0"/>
    <x v="43"/>
    <x v="1"/>
    <n v="3"/>
    <s v="10731"/>
    <s v="server"/>
    <s v="0.0.0.0"/>
    <s v="iBHb2"/>
    <m/>
    <n v="2034"/>
    <s v="iBHb2"/>
    <s v="172.29.9.67"/>
    <n v="32034"/>
    <m/>
    <m/>
    <s v="slb_plugin_rm_biciso.so"/>
    <s v="}},"/>
  </r>
  <r>
    <x v="0"/>
    <x v="44"/>
    <x v="1"/>
    <n v="4"/>
    <s v="10732"/>
    <s v="server"/>
    <s v="0.0.0.0"/>
    <s v="iBHb2"/>
    <m/>
    <n v="3034"/>
    <s v="iBHb2"/>
    <s v="172.29.9.67"/>
    <n v="33034"/>
    <m/>
    <m/>
    <s v="slb_plugin_rm_biciso.so"/>
    <s v="}}}},"/>
  </r>
  <r>
    <x v="10"/>
    <x v="45"/>
    <x v="1"/>
    <n v="1"/>
    <n v="13201"/>
    <s v="server"/>
    <s v="192.168.220.250"/>
    <s v="BHb2"/>
    <m/>
    <n v="5026"/>
    <s v="BHb2"/>
    <s v="172.29.9.67"/>
    <n v="35026"/>
    <m/>
    <m/>
    <s v="slb_plugin_rm_biciso.so"/>
    <s v="}},"/>
  </r>
  <r>
    <x v="0"/>
    <x v="46"/>
    <x v="1"/>
    <n v="2"/>
    <n v="13202"/>
    <s v="server"/>
    <s v="192.168.220.250"/>
    <s v="BHb2"/>
    <m/>
    <n v="6026"/>
    <s v="BHb2"/>
    <s v="172.29.9.67"/>
    <n v="36026"/>
    <m/>
    <m/>
    <s v="slb_plugin_rm_biciso.so"/>
    <s v="}}}},"/>
  </r>
  <r>
    <x v="11"/>
    <x v="47"/>
    <x v="1"/>
    <n v="1"/>
    <s v="10572"/>
    <s v="server"/>
    <s v="0.0.0.0"/>
    <s v="BHb2"/>
    <m/>
    <n v="3044"/>
    <s v="BHb2"/>
    <s v="172.29.9.67"/>
    <n v="33044"/>
    <m/>
    <m/>
    <s v="slb_plugin_rm_biciso.so"/>
    <s v="}},"/>
  </r>
  <r>
    <x v="0"/>
    <x v="48"/>
    <x v="1"/>
    <n v="2"/>
    <s v="10573"/>
    <s v="server"/>
    <s v="0.0.0.0"/>
    <s v="BHb2"/>
    <m/>
    <n v="3055"/>
    <s v="BHb2"/>
    <s v="172.29.9.67"/>
    <n v="33055"/>
    <m/>
    <m/>
    <s v="slb_plugin_rm_biciso.so"/>
    <s v="}},"/>
  </r>
  <r>
    <x v="0"/>
    <x v="49"/>
    <x v="1"/>
    <n v="3"/>
    <s v="10592"/>
    <s v="client"/>
    <m/>
    <s v="BHb2"/>
    <s v="172.26.38.18"/>
    <n v="3044"/>
    <s v="BHb2"/>
    <s v="172.29.9.67"/>
    <n v="53044"/>
    <m/>
    <m/>
    <s v="slb_plugin_rm_biciso.so"/>
    <s v="}},"/>
  </r>
  <r>
    <x v="0"/>
    <x v="50"/>
    <x v="1"/>
    <n v="4"/>
    <s v="10593"/>
    <s v="client"/>
    <m/>
    <s v="BHb2"/>
    <s v="172.26.38.18"/>
    <n v="3055"/>
    <s v="BHb2"/>
    <s v="172.29.9.67"/>
    <n v="53055"/>
    <m/>
    <m/>
    <s v="slb_plugin_rm_biciso.so"/>
    <s v="}}}},"/>
  </r>
  <r>
    <x v="12"/>
    <x v="51"/>
    <x v="0"/>
    <n v="1"/>
    <s v="6053"/>
    <s v="server"/>
    <s v="10.2.113.19"/>
    <s v="iBHb2"/>
    <m/>
    <n v="2013"/>
    <s v="iBHb2"/>
    <s v="172.29.9.67"/>
    <n v="32013"/>
    <m/>
    <m/>
    <s v="slb_plugin_rm_biciso.so"/>
    <s v="}},"/>
  </r>
  <r>
    <x v="0"/>
    <x v="52"/>
    <x v="0"/>
    <n v="2"/>
    <s v="6054"/>
    <s v="server"/>
    <s v="10.2.113.19"/>
    <s v="iBHb2"/>
    <m/>
    <n v="3013"/>
    <s v="iBHb2"/>
    <s v="172.29.9.67"/>
    <n v="33013"/>
    <m/>
    <m/>
    <s v="slb_plugin_rm_biciso.so"/>
    <s v="}},"/>
  </r>
  <r>
    <x v="0"/>
    <x v="53"/>
    <x v="0"/>
    <n v="3"/>
    <s v="6055"/>
    <s v="server"/>
    <s v="10.2.113.19"/>
    <s v="iBHb2"/>
    <m/>
    <n v="4013"/>
    <s v="iBHb2"/>
    <s v="172.29.9.67"/>
    <n v="34013"/>
    <m/>
    <m/>
    <s v="slb_plugin_rm_biciso.so"/>
    <s v="}},"/>
  </r>
  <r>
    <x v="0"/>
    <x v="54"/>
    <x v="0"/>
    <n v="4"/>
    <s v="6056"/>
    <s v="server"/>
    <s v="10.2.113.19"/>
    <s v="iBHb2"/>
    <m/>
    <n v="5013"/>
    <s v="iBHb2"/>
    <s v="172.29.9.67"/>
    <n v="35013"/>
    <m/>
    <m/>
    <s v="slb_plugin_rm_biciso.so"/>
    <s v="}},"/>
  </r>
  <r>
    <x v="0"/>
    <x v="55"/>
    <x v="0"/>
    <n v="5"/>
    <s v="6057"/>
    <s v="client"/>
    <m/>
    <s v="iBHb2"/>
    <s v="172.19.207.40"/>
    <n v="2013"/>
    <s v="iBHb2"/>
    <s v="172.29.9.67"/>
    <n v="52013"/>
    <m/>
    <m/>
    <s v="slb_plugin_rm_biciso.so"/>
    <s v="}},"/>
  </r>
  <r>
    <x v="0"/>
    <x v="56"/>
    <x v="0"/>
    <n v="6"/>
    <s v="6058"/>
    <s v="client"/>
    <m/>
    <s v="iBHb2"/>
    <s v="172.19.207.40"/>
    <n v="3013"/>
    <s v="iBHb2"/>
    <s v="172.29.9.67"/>
    <n v="53013"/>
    <m/>
    <m/>
    <s v="slb_plugin_rm_biciso.so"/>
    <s v="}},"/>
  </r>
  <r>
    <x v="0"/>
    <x v="57"/>
    <x v="0"/>
    <n v="7"/>
    <s v="6059"/>
    <s v="client"/>
    <m/>
    <s v="iBHb2"/>
    <s v="172.19.207.40"/>
    <n v="4013"/>
    <s v="iBHb2"/>
    <s v="172.29.9.67"/>
    <n v="54013"/>
    <m/>
    <m/>
    <s v="slb_plugin_rm_biciso.so"/>
    <s v="}},"/>
  </r>
  <r>
    <x v="0"/>
    <x v="58"/>
    <x v="0"/>
    <n v="8"/>
    <s v="6060"/>
    <s v="client"/>
    <m/>
    <s v="iBHb2"/>
    <s v="172.19.207.40"/>
    <n v="5013"/>
    <s v="iBHb2"/>
    <s v="172.29.9.67"/>
    <n v="55013"/>
    <m/>
    <m/>
    <s v="slb_plugin_rm_biciso.so"/>
    <s v="}},"/>
  </r>
  <r>
    <x v="12"/>
    <x v="59"/>
    <x v="1"/>
    <n v="1"/>
    <s v="10401"/>
    <s v="server"/>
    <s v="10.2.113.19"/>
    <s v="iBHb2"/>
    <m/>
    <n v="6013"/>
    <s v="iBHb2"/>
    <s v="172.29.9.67"/>
    <n v="36013"/>
    <m/>
    <m/>
    <s v="slb_plugin_rm_biciso.so"/>
    <s v="}},"/>
  </r>
  <r>
    <x v="0"/>
    <x v="59"/>
    <x v="1"/>
    <n v="2"/>
    <s v="10402"/>
    <s v="server"/>
    <s v="10.2.113.19"/>
    <s v="iBHb2"/>
    <m/>
    <n v="7013"/>
    <s v="iBHb2"/>
    <s v="172.29.9.67"/>
    <n v="37013"/>
    <m/>
    <m/>
    <s v="slb_plugin_rm_biciso.so"/>
    <s v="}}}},"/>
  </r>
  <r>
    <x v="13"/>
    <x v="60"/>
    <x v="1"/>
    <n v="1"/>
    <n v="13301"/>
    <s v="server"/>
    <s v="172.26.38.73"/>
    <s v="iBHb2"/>
    <m/>
    <n v="2047"/>
    <s v="iBHb2"/>
    <s v="172.29.9.67"/>
    <n v="32047"/>
    <m/>
    <m/>
    <s v="slb_plugin_rm_biciso.so"/>
    <s v="}},"/>
  </r>
  <r>
    <x v="0"/>
    <x v="61"/>
    <x v="1"/>
    <n v="2"/>
    <n v="13302"/>
    <s v="server"/>
    <s v="172.26.38.73"/>
    <s v="iBHb2"/>
    <m/>
    <n v="3047"/>
    <s v="iBHb2"/>
    <s v="172.29.9.67"/>
    <n v="33047"/>
    <m/>
    <m/>
    <s v="slb_plugin_rm_biciso.so"/>
    <s v="}}}},"/>
  </r>
  <r>
    <x v="14"/>
    <x v="62"/>
    <x v="1"/>
    <n v="1"/>
    <n v="10574"/>
    <s v="server"/>
    <s v="192.168.15.10 "/>
    <s v="BHb2"/>
    <m/>
    <n v="8505"/>
    <s v="BHb2"/>
    <s v="172.29.9.67"/>
    <n v="38505"/>
    <m/>
    <m/>
    <s v="slb_plugin_rm_biciso.so"/>
    <s v="}},"/>
  </r>
  <r>
    <x v="0"/>
    <x v="63"/>
    <x v="1"/>
    <n v="2"/>
    <n v="10575"/>
    <s v="server"/>
    <s v="192.168.15.10 "/>
    <s v="BHb2"/>
    <m/>
    <n v="8506"/>
    <s v="BHb2"/>
    <s v="172.29.9.67"/>
    <n v="38506"/>
    <m/>
    <m/>
    <s v="slb_plugin_rm_biciso.so"/>
    <s v="}},"/>
  </r>
  <r>
    <x v="0"/>
    <x v="64"/>
    <x v="1"/>
    <n v="3"/>
    <n v="10594"/>
    <s v="client"/>
    <m/>
    <s v="BHb2"/>
    <s v="172.16.4.10  "/>
    <n v="8505"/>
    <s v="BHb2"/>
    <s v="172.29.9.67"/>
    <n v="58505"/>
    <m/>
    <m/>
    <s v="slb_plugin_rm_biciso.so"/>
    <s v="}},"/>
  </r>
  <r>
    <x v="0"/>
    <x v="65"/>
    <x v="1"/>
    <n v="4"/>
    <n v="10595"/>
    <s v="client"/>
    <m/>
    <s v="BHb2"/>
    <s v="172.16.4.10  "/>
    <n v="8506"/>
    <s v="BHb2"/>
    <s v="172.29.9.67"/>
    <n v="58506"/>
    <m/>
    <m/>
    <s v="slb_plugin_rm_biciso.so"/>
    <s v="}}}},"/>
  </r>
  <r>
    <x v="15"/>
    <x v="66"/>
    <x v="1"/>
    <n v="1"/>
    <n v="8204"/>
    <s v="client"/>
    <m/>
    <s v="BHb2"/>
    <s v="172.26.38.18"/>
    <n v="8204"/>
    <s v="BHb2"/>
    <s v="172.29.9.67"/>
    <s v="58204"/>
    <m/>
    <m/>
    <s v="slb_plugin_rm_biciso.so"/>
    <s v="}},"/>
  </r>
  <r>
    <x v="0"/>
    <x v="67"/>
    <x v="1"/>
    <n v="2"/>
    <n v="8205"/>
    <s v="client"/>
    <m/>
    <s v="BHb2"/>
    <s v="172.26.38.18"/>
    <n v="8205"/>
    <s v="BHb2"/>
    <s v="172.29.9.67"/>
    <s v="58205"/>
    <m/>
    <m/>
    <s v="slb_plugin_rm_biciso.so"/>
    <s v="}}}},"/>
  </r>
  <r>
    <x v="16"/>
    <x v="68"/>
    <x v="1"/>
    <n v="1"/>
    <s v="8200"/>
    <s v="server"/>
    <s v="172.25.32.8"/>
    <s v="BHb2"/>
    <m/>
    <n v="8202"/>
    <s v="BHb2"/>
    <s v="172.29.9.67"/>
    <n v="38202"/>
    <m/>
    <m/>
    <s v="slb_plugin_rm_biciso.so"/>
    <s v="}},"/>
  </r>
  <r>
    <x v="0"/>
    <x v="69"/>
    <x v="1"/>
    <n v="2"/>
    <s v="8201"/>
    <s v="server"/>
    <s v="172.25.32.8"/>
    <s v="BHb2"/>
    <m/>
    <n v="8203"/>
    <s v="BHb2"/>
    <s v="172.29.9.67"/>
    <n v="38203"/>
    <m/>
    <m/>
    <s v="slb_plugin_rm_biciso.so"/>
    <s v="}},"/>
  </r>
  <r>
    <x v="0"/>
    <x v="70"/>
    <x v="1"/>
    <n v="3"/>
    <s v="8202"/>
    <s v="client"/>
    <m/>
    <s v="BHb2"/>
    <s v="172.26.38.18"/>
    <n v="8202"/>
    <s v="BHb2"/>
    <s v="172.29.9.67"/>
    <n v="58202"/>
    <m/>
    <m/>
    <s v="slb_plugin_rm_biciso.so"/>
    <s v="}},"/>
  </r>
  <r>
    <x v="0"/>
    <x v="71"/>
    <x v="1"/>
    <n v="4"/>
    <s v="8203"/>
    <s v="client"/>
    <m/>
    <s v="BHb2"/>
    <s v="172.26.38.18"/>
    <n v="8203"/>
    <s v="BHb2"/>
    <s v="172.29.9.67"/>
    <n v="58203"/>
    <m/>
    <m/>
    <s v="slb_plugin_rm_biciso.so"/>
    <s v="}}}},"/>
  </r>
  <r>
    <x v="17"/>
    <x v="72"/>
    <x v="0"/>
    <n v="1"/>
    <s v="6013"/>
    <s v="client"/>
    <m/>
    <s v="iBHb2"/>
    <s v="172.19.207.40"/>
    <n v="3074"/>
    <s v="iBHb2"/>
    <s v="172.29.9.67"/>
    <n v="53074"/>
    <m/>
    <m/>
    <s v="slb_plugin_rm_biciso.so"/>
    <s v="}},"/>
  </r>
  <r>
    <x v="0"/>
    <x v="73"/>
    <x v="0"/>
    <n v="2"/>
    <s v="6011"/>
    <s v="server"/>
    <s v="10.2.74.21"/>
    <s v="iBHb2"/>
    <m/>
    <n v="3074"/>
    <s v="iBHb2"/>
    <s v="172.29.9.67"/>
    <n v="33074"/>
    <m/>
    <m/>
    <s v="slb_plugin_rm_biciso.so"/>
    <s v="}},"/>
  </r>
  <r>
    <x v="0"/>
    <x v="74"/>
    <x v="0"/>
    <n v="3"/>
    <s v="6014"/>
    <s v="client"/>
    <m/>
    <s v="iBHb2"/>
    <s v="172.19.207.40"/>
    <n v="2074"/>
    <s v="iBHb2"/>
    <s v="172.29.9.67"/>
    <n v="52074"/>
    <m/>
    <m/>
    <s v="slb_plugin_rm_biciso.so"/>
    <s v="}},"/>
  </r>
  <r>
    <x v="0"/>
    <x v="73"/>
    <x v="0"/>
    <n v="4"/>
    <s v="6012"/>
    <s v="server"/>
    <s v="10.2.74.21"/>
    <s v="iBHb2"/>
    <m/>
    <n v="2074"/>
    <s v="iBHb2"/>
    <s v="172.29.9.67"/>
    <n v="32074"/>
    <m/>
    <m/>
    <s v="slb_plugin_rm_biciso.so"/>
    <s v="}}}},"/>
  </r>
  <r>
    <x v="18"/>
    <x v="75"/>
    <x v="1"/>
    <n v="1"/>
    <s v="12601"/>
    <s v="server"/>
    <s v="10.2.4.19"/>
    <s v="BHb2"/>
    <m/>
    <n v="2049"/>
    <s v="BHb2"/>
    <s v="172.29.9.67"/>
    <n v="32049"/>
    <m/>
    <m/>
    <s v="slb_plugin_rm_biciso.so"/>
    <s v="}},"/>
  </r>
  <r>
    <x v="0"/>
    <x v="76"/>
    <x v="1"/>
    <n v="2"/>
    <s v="12602"/>
    <s v="server"/>
    <s v="10.2.4.19"/>
    <s v="BHb2"/>
    <m/>
    <n v="3049"/>
    <s v="BHb2"/>
    <s v="172.29.9.67"/>
    <n v="33049"/>
    <m/>
    <m/>
    <s v="slb_plugin_rm_biciso.so"/>
    <s v="}},"/>
  </r>
  <r>
    <x v="0"/>
    <x v="77"/>
    <x v="1"/>
    <n v="3"/>
    <s v="12611"/>
    <s v="server"/>
    <s v="10.2.4.19"/>
    <s v="BHb2"/>
    <m/>
    <n v="2949"/>
    <s v="BHb2"/>
    <s v="172.29.9.67"/>
    <n v="32949"/>
    <m/>
    <m/>
    <s v="slb_plugin_rm_biciso.so"/>
    <s v="}},"/>
  </r>
  <r>
    <x v="0"/>
    <x v="78"/>
    <x v="1"/>
    <n v="4"/>
    <s v="12612"/>
    <s v="server"/>
    <s v="10.2.4.19"/>
    <s v="BHb2"/>
    <m/>
    <n v="3949"/>
    <s v="BHb2"/>
    <s v="172.29.9.67"/>
    <n v="33949"/>
    <m/>
    <m/>
    <s v="slb_plugin_rm_biciso.so"/>
    <s v="}}}},"/>
  </r>
  <r>
    <x v="19"/>
    <x v="79"/>
    <x v="0"/>
    <n v="1"/>
    <n v="10007"/>
    <s v="server"/>
    <s v="172.27.1.143"/>
    <s v="BHb2"/>
    <m/>
    <n v="8084"/>
    <s v="BHb2"/>
    <s v="172.29.9.67"/>
    <n v="38084"/>
    <m/>
    <m/>
    <s v="slb_plugin_rm_biciso.so"/>
    <s v="}},"/>
  </r>
  <r>
    <x v="0"/>
    <x v="80"/>
    <x v="0"/>
    <n v="2"/>
    <n v="10017"/>
    <s v="server"/>
    <m/>
    <s v="BHb2"/>
    <s v="172.19.207.40"/>
    <n v="8084"/>
    <s v="BHb2"/>
    <s v="172.29.9.67"/>
    <n v="58084"/>
    <m/>
    <m/>
    <s v="slb_plugin_rm_biciso.so"/>
    <s v="}}}},"/>
  </r>
  <r>
    <x v="20"/>
    <x v="81"/>
    <x v="1"/>
    <n v="1"/>
    <s v="6071"/>
    <s v="server"/>
    <s v="10.2.14.21"/>
    <s v="iBHb2"/>
    <m/>
    <n v="2214"/>
    <s v="iBHb2"/>
    <s v="172.29.9.67"/>
    <n v="32214"/>
    <m/>
    <m/>
    <s v="slb_plugin_rm_biciso.so"/>
    <s v="}},"/>
  </r>
  <r>
    <x v="0"/>
    <x v="82"/>
    <x v="1"/>
    <n v="2"/>
    <s v="6072"/>
    <s v="server"/>
    <s v="10.2.14.21"/>
    <s v="iBHb2"/>
    <m/>
    <n v="3214"/>
    <s v="iBHb2"/>
    <s v="172.29.9.67"/>
    <n v="33214"/>
    <m/>
    <m/>
    <s v="slb_plugin_rm_biciso.so"/>
    <s v="}},"/>
  </r>
  <r>
    <x v="0"/>
    <x v="83"/>
    <x v="1"/>
    <n v="3"/>
    <s v="6073"/>
    <s v="client"/>
    <m/>
    <s v="iBHb2"/>
    <s v="172.19.207.40"/>
    <n v="2214"/>
    <s v="iBHb2"/>
    <s v="172.29.9.67"/>
    <n v="52214"/>
    <m/>
    <m/>
    <s v="slb_plugin_rm_biciso.so"/>
    <s v="}},"/>
  </r>
  <r>
    <x v="0"/>
    <x v="84"/>
    <x v="1"/>
    <n v="4"/>
    <s v="6074"/>
    <s v="client"/>
    <m/>
    <s v="iBHb2"/>
    <s v="172.19.207.40"/>
    <n v="3214"/>
    <s v="iBHb2"/>
    <s v="172.29.9.67"/>
    <n v="53214"/>
    <m/>
    <m/>
    <s v="slb_plugin_rm_biciso.so"/>
    <s v="}}}},"/>
  </r>
  <r>
    <x v="21"/>
    <x v="85"/>
    <x v="0"/>
    <n v="1"/>
    <n v="219"/>
    <s v="server"/>
    <m/>
    <s v="iBHb2"/>
    <s v="172.29.9.67"/>
    <n v="35219"/>
    <s v="iBHb2"/>
    <s v="172.19.207.40"/>
    <n v="5218"/>
    <s v="172.19.207.40"/>
    <n v="5219"/>
    <s v="slb_plugin_rm_biciso.so"/>
    <s v="}}}},"/>
  </r>
  <r>
    <x v="22"/>
    <x v="86"/>
    <x v="0"/>
    <n v="1"/>
    <s v="12703"/>
    <s v="server"/>
    <s v="172.16.27.253"/>
    <s v="BHb2"/>
    <m/>
    <n v="1152"/>
    <s v="BHb2"/>
    <s v="172.29.9.67"/>
    <n v="31152"/>
    <m/>
    <m/>
    <m/>
    <s v="}},"/>
  </r>
  <r>
    <x v="0"/>
    <x v="87"/>
    <x v="0"/>
    <n v="2"/>
    <s v="12706"/>
    <s v="server"/>
    <s v="172.16.27.253"/>
    <s v="BHb2"/>
    <m/>
    <n v="2152"/>
    <s v="BHb2"/>
    <s v="172.29.9.67"/>
    <n v="32152"/>
    <m/>
    <m/>
    <m/>
    <s v="}}}},"/>
  </r>
  <r>
    <x v="23"/>
    <x v="88"/>
    <x v="0"/>
    <n v="1"/>
    <n v="11401"/>
    <s v="server"/>
    <s v="10.2.74.21"/>
    <s v="BHb2"/>
    <m/>
    <n v="5523"/>
    <s v="BHb2"/>
    <s v="172.29.9.67"/>
    <n v="35523"/>
    <m/>
    <m/>
    <s v="slb_plugin_rm_biciso.so"/>
    <s v="}},"/>
  </r>
  <r>
    <x v="0"/>
    <x v="89"/>
    <x v="0"/>
    <n v="2"/>
    <n v="11402"/>
    <s v="server"/>
    <s v="10.2.74.21"/>
    <s v="BHb2"/>
    <m/>
    <n v="6623"/>
    <s v="BHb2"/>
    <s v="172.29.9.67"/>
    <n v="36623"/>
    <m/>
    <m/>
    <s v="slb_plugin_rm_biciso.so"/>
    <s v="}},"/>
  </r>
  <r>
    <x v="23"/>
    <x v="90"/>
    <x v="1"/>
    <n v="1"/>
    <n v="11413"/>
    <s v="server"/>
    <s v="172.16.27.253"/>
    <s v="BHb2"/>
    <m/>
    <n v="2723"/>
    <s v="BHb2"/>
    <s v="172.29.9.67"/>
    <n v="32723"/>
    <m/>
    <m/>
    <s v="slb_plugin_rm_biciso.so"/>
    <s v="}},"/>
  </r>
  <r>
    <x v="0"/>
    <x v="91"/>
    <x v="1"/>
    <n v="2"/>
    <n v="11414"/>
    <s v="server"/>
    <s v="172.16.27.253"/>
    <s v="BHb2"/>
    <m/>
    <n v="3723"/>
    <s v="BHb2"/>
    <s v="172.29.9.67"/>
    <n v="33723"/>
    <m/>
    <m/>
    <s v="slb_plugin_rm_biciso.so"/>
    <s v="}}}},"/>
  </r>
  <r>
    <x v="24"/>
    <x v="92"/>
    <x v="1"/>
    <n v="1"/>
    <s v="10321"/>
    <s v="server"/>
    <s v="10.2.3.132"/>
    <s v="iBHb2"/>
    <m/>
    <n v="5505"/>
    <s v="iBHb2"/>
    <s v="172.29.9.67"/>
    <n v="35505"/>
    <m/>
    <m/>
    <s v="slb_plugin_rm_biciso.so"/>
    <s v="}},"/>
  </r>
  <r>
    <x v="0"/>
    <x v="93"/>
    <x v="1"/>
    <n v="2"/>
    <s v="10320"/>
    <s v="server"/>
    <s v="10.2.3.132"/>
    <s v="iBHb2"/>
    <m/>
    <n v="5405"/>
    <s v="iBHb2"/>
    <s v="172.29.9.67"/>
    <n v="35405"/>
    <m/>
    <m/>
    <s v="slb_plugin_rm_biciso.so"/>
    <s v="}},"/>
  </r>
  <r>
    <x v="0"/>
    <x v="94"/>
    <x v="1"/>
    <n v="3"/>
    <s v="10322"/>
    <s v="server"/>
    <s v="10.2.3.132"/>
    <s v="iBHb2"/>
    <m/>
    <n v="5605"/>
    <s v="iBHb2"/>
    <s v="172.29.9.67"/>
    <n v="35605"/>
    <m/>
    <m/>
    <s v="slb_plugin_rm_biciso.so"/>
    <s v="}}}},"/>
  </r>
  <r>
    <x v="25"/>
    <x v="95"/>
    <x v="0"/>
    <n v="1"/>
    <s v="10200"/>
    <s v="server"/>
    <s v="0.0.0.0"/>
    <s v="BHb2"/>
    <m/>
    <n v="2017"/>
    <s v="BHb2"/>
    <s v="172.29.9.67"/>
    <n v="22017"/>
    <m/>
    <m/>
    <s v="slb_plugin_rm_biciso.so"/>
    <s v="}},"/>
  </r>
  <r>
    <x v="0"/>
    <x v="96"/>
    <x v="0"/>
    <n v="2"/>
    <s v="10201"/>
    <s v="server"/>
    <s v="0.0.0.0"/>
    <s v="BHb2"/>
    <m/>
    <n v="3017"/>
    <s v="BHb2"/>
    <s v="172.29.9.67"/>
    <n v="23017"/>
    <m/>
    <m/>
    <s v="slb_plugin_rm_biciso.so"/>
    <s v="}},"/>
  </r>
  <r>
    <x v="0"/>
    <x v="97"/>
    <x v="0"/>
    <n v="3"/>
    <s v="10210"/>
    <s v="client"/>
    <m/>
    <s v="BHb2"/>
    <s v="172.19.207.40"/>
    <n v="2017"/>
    <s v="BHb2"/>
    <s v="172.29.9.67"/>
    <n v="52017"/>
    <m/>
    <m/>
    <s v="slb_plugin_rm_biciso.so"/>
    <s v="}},"/>
  </r>
  <r>
    <x v="0"/>
    <x v="98"/>
    <x v="0"/>
    <n v="4"/>
    <s v="10211"/>
    <s v="client"/>
    <m/>
    <s v="BHb2"/>
    <s v="172.19.207.40"/>
    <n v="3017"/>
    <s v="BHb2"/>
    <s v="172.29.9.67"/>
    <n v="53017"/>
    <m/>
    <m/>
    <s v="slb_plugin_rm_biciso.so"/>
    <s v="}}}}"/>
  </r>
  <r>
    <x v="26"/>
    <x v="99"/>
    <x v="0"/>
    <n v="1"/>
    <n v="10151"/>
    <s v="client"/>
    <m/>
    <s v="iBHb2"/>
    <s v="172.26.38.18"/>
    <n v="5551"/>
    <s v="iBHb2"/>
    <s v="172.29.9.67"/>
    <s v="35551"/>
    <m/>
    <m/>
    <s v="slb_plugin_rm_biciso.so"/>
    <s v="}},"/>
  </r>
  <r>
    <x v="0"/>
    <x v="100"/>
    <x v="0"/>
    <n v="2"/>
    <n v="10152"/>
    <s v="client"/>
    <m/>
    <s v="iBHb2"/>
    <s v="172.26.38.18"/>
    <n v="5552"/>
    <s v="iBHb2"/>
    <s v="172.29.9.67"/>
    <s v="35552"/>
    <m/>
    <m/>
    <s v="slb_plugin_rm_biciso.so"/>
    <s v="}},"/>
  </r>
  <r>
    <x v="0"/>
    <x v="101"/>
    <x v="0"/>
    <n v="3"/>
    <n v="10153"/>
    <s v="client"/>
    <m/>
    <s v="iBHb2"/>
    <s v="172.26.38.18"/>
    <n v="5553"/>
    <s v="iBHb2"/>
    <s v="172.29.9.67"/>
    <s v="35553"/>
    <m/>
    <m/>
    <s v="slb_plugin_rm_biciso.so"/>
    <s v="}},"/>
  </r>
  <r>
    <x v="0"/>
    <x v="102"/>
    <x v="0"/>
    <n v="4"/>
    <n v="10154"/>
    <s v="client"/>
    <m/>
    <s v="iBHb2"/>
    <s v="172.26.38.18"/>
    <n v="5554"/>
    <s v="iBHb2"/>
    <s v="172.29.9.67"/>
    <s v="35554"/>
    <m/>
    <m/>
    <s v="slb_plugin_rm_biciso.so"/>
    <s v="}},"/>
  </r>
  <r>
    <x v="0"/>
    <x v="103"/>
    <x v="0"/>
    <n v="5"/>
    <n v="10155"/>
    <s v="client"/>
    <m/>
    <s v="iBHb2"/>
    <s v="172.26.38.18"/>
    <n v="5555"/>
    <s v="iBHb2"/>
    <s v="172.29.9.67"/>
    <s v="35555"/>
    <m/>
    <m/>
    <s v="slb_plugin_rm_biciso.so"/>
    <s v="}},"/>
  </r>
  <r>
    <x v="0"/>
    <x v="104"/>
    <x v="0"/>
    <n v="6"/>
    <n v="10156"/>
    <s v="client"/>
    <m/>
    <s v="iBHb2"/>
    <s v="172.26.38.18"/>
    <n v="5556"/>
    <s v="iBHb2"/>
    <s v="172.29.9.67"/>
    <s v="35556"/>
    <m/>
    <m/>
    <s v="slb_plugin_rm_biciso.so"/>
    <s v="}}}},"/>
  </r>
  <r>
    <x v="27"/>
    <x v="105"/>
    <x v="0"/>
    <n v="1"/>
    <n v="10157"/>
    <s v="client"/>
    <m/>
    <s v="iBHb2"/>
    <s v="172.26.38.18"/>
    <n v="5557"/>
    <s v="iBHb2"/>
    <s v="172.29.9.67"/>
    <s v="35557"/>
    <m/>
    <m/>
    <s v="slb_plugin_rm_biciso.so"/>
    <s v="}},"/>
  </r>
  <r>
    <x v="0"/>
    <x v="106"/>
    <x v="0"/>
    <n v="2"/>
    <n v="10158"/>
    <s v="client"/>
    <m/>
    <s v="iBHb2"/>
    <s v="172.26.38.18"/>
    <n v="5558"/>
    <s v="iBHb2"/>
    <s v="172.29.9.67"/>
    <s v="35558"/>
    <m/>
    <m/>
    <s v="slb_plugin_rm_biciso.so"/>
    <s v="}},"/>
  </r>
  <r>
    <x v="0"/>
    <x v="107"/>
    <x v="0"/>
    <n v="3"/>
    <n v="10159"/>
    <s v="client"/>
    <m/>
    <s v="iBHb2"/>
    <s v="172.26.38.18"/>
    <n v="5559"/>
    <s v="iBHb2"/>
    <s v="172.29.9.67"/>
    <s v="35559"/>
    <m/>
    <m/>
    <s v="slb_plugin_rm_biciso.so"/>
    <s v="}},"/>
  </r>
  <r>
    <x v="0"/>
    <x v="108"/>
    <x v="0"/>
    <n v="4"/>
    <n v="10160"/>
    <s v="client"/>
    <m/>
    <s v="iBHb2"/>
    <s v="172.26.38.18"/>
    <n v="5560"/>
    <s v="iBHb2"/>
    <s v="172.29.9.67"/>
    <s v="35560"/>
    <m/>
    <m/>
    <s v="slb_plugin_rm_biciso.so"/>
    <s v="}},"/>
  </r>
  <r>
    <x v="0"/>
    <x v="109"/>
    <x v="0"/>
    <n v="5"/>
    <n v="10161"/>
    <s v="client"/>
    <m/>
    <s v="iBHb2"/>
    <s v="172.26.38.18"/>
    <n v="5561"/>
    <s v="iBHb2"/>
    <s v="172.29.9.67"/>
    <s v="35561"/>
    <m/>
    <m/>
    <s v="slb_plugin_rm_biciso.so"/>
    <s v="}},"/>
  </r>
  <r>
    <x v="0"/>
    <x v="110"/>
    <x v="0"/>
    <n v="6"/>
    <n v="10162"/>
    <s v="client"/>
    <m/>
    <s v="iBHb2"/>
    <s v="172.26.38.18"/>
    <n v="5562"/>
    <s v="iBHb2"/>
    <s v="172.29.9.67"/>
    <s v="35562"/>
    <m/>
    <m/>
    <s v="slb_plugin_rm_biciso.so"/>
    <s v="}}}},"/>
  </r>
  <r>
    <x v="28"/>
    <x v="111"/>
    <x v="0"/>
    <n v="1"/>
    <n v="10163"/>
    <s v="client"/>
    <m/>
    <s v="iBHb2"/>
    <s v="172.26.38.18"/>
    <n v="5563"/>
    <s v="iBHb2"/>
    <s v="172.29.9.67"/>
    <s v="35563"/>
    <m/>
    <m/>
    <s v="slb_plugin_rm_biciso.so"/>
    <s v="}},"/>
  </r>
  <r>
    <x v="0"/>
    <x v="112"/>
    <x v="0"/>
    <n v="2"/>
    <n v="10164"/>
    <s v="client"/>
    <m/>
    <s v="iBHb2"/>
    <s v="172.26.38.18"/>
    <n v="5564"/>
    <s v="iBHb2"/>
    <s v="172.29.9.67"/>
    <s v="35564"/>
    <m/>
    <m/>
    <s v="slb_plugin_rm_biciso.so"/>
    <s v="}},"/>
  </r>
  <r>
    <x v="0"/>
    <x v="113"/>
    <x v="0"/>
    <n v="3"/>
    <n v="10165"/>
    <s v="client"/>
    <m/>
    <s v="iBHb2"/>
    <s v="172.26.38.18"/>
    <n v="5565"/>
    <s v="iBHb2"/>
    <s v="172.29.9.67"/>
    <s v="35565"/>
    <m/>
    <m/>
    <s v="slb_plugin_rm_biciso.so"/>
    <s v="}},"/>
  </r>
  <r>
    <x v="0"/>
    <x v="114"/>
    <x v="0"/>
    <n v="4"/>
    <n v="10166"/>
    <s v="client"/>
    <m/>
    <s v="iBHb2"/>
    <s v="172.26.38.18"/>
    <n v="5566"/>
    <s v="iBHb2"/>
    <s v="172.29.9.67"/>
    <s v="35566"/>
    <m/>
    <m/>
    <s v="slb_plugin_rm_biciso.so"/>
    <s v="}},"/>
  </r>
  <r>
    <x v="0"/>
    <x v="115"/>
    <x v="0"/>
    <n v="5"/>
    <n v="10167"/>
    <s v="client"/>
    <m/>
    <s v="iBHb2"/>
    <s v="172.26.38.18"/>
    <n v="5567"/>
    <s v="iBHb2"/>
    <s v="172.29.9.67"/>
    <s v="35567"/>
    <m/>
    <m/>
    <s v="slb_plugin_rm_biciso.so"/>
    <s v="}},"/>
  </r>
  <r>
    <x v="0"/>
    <x v="116"/>
    <x v="0"/>
    <n v="6"/>
    <n v="10168"/>
    <s v="client"/>
    <m/>
    <s v="iBHb2"/>
    <s v="172.26.38.18"/>
    <n v="5568"/>
    <s v="iBHb2"/>
    <s v="172.29.9.67"/>
    <s v="35568"/>
    <m/>
    <m/>
    <s v="slb_plugin_rm_biciso.so"/>
    <s v="}}}},"/>
  </r>
  <r>
    <x v="29"/>
    <x v="117"/>
    <x v="0"/>
    <n v="1"/>
    <n v="10169"/>
    <s v="client"/>
    <m/>
    <s v="iBHb2"/>
    <s v="172.26.38.18"/>
    <n v="5569"/>
    <s v="iBHb2"/>
    <s v="172.29.9.67"/>
    <s v="35569"/>
    <m/>
    <m/>
    <s v="slb_plugin_rm_biciso.so"/>
    <s v="}},"/>
  </r>
  <r>
    <x v="0"/>
    <x v="118"/>
    <x v="0"/>
    <n v="2"/>
    <n v="10170"/>
    <s v="client"/>
    <m/>
    <s v="iBHb2"/>
    <s v="172.26.38.18"/>
    <n v="5570"/>
    <s v="iBHb2"/>
    <s v="172.29.9.67"/>
    <s v="35570"/>
    <m/>
    <m/>
    <s v="slb_plugin_rm_biciso.so"/>
    <s v="}},"/>
  </r>
  <r>
    <x v="0"/>
    <x v="119"/>
    <x v="0"/>
    <n v="3"/>
    <n v="10171"/>
    <s v="client"/>
    <m/>
    <s v="iBHb2"/>
    <s v="172.26.38.18"/>
    <n v="5571"/>
    <s v="iBHb2"/>
    <s v="172.29.9.67"/>
    <s v="35571"/>
    <m/>
    <m/>
    <s v="slb_plugin_rm_biciso.so"/>
    <s v="}},"/>
  </r>
  <r>
    <x v="0"/>
    <x v="120"/>
    <x v="0"/>
    <n v="4"/>
    <n v="10172"/>
    <s v="client"/>
    <m/>
    <s v="iBHb2"/>
    <s v="172.26.38.18"/>
    <n v="5572"/>
    <s v="iBHb2"/>
    <s v="172.29.9.67"/>
    <s v="35572"/>
    <m/>
    <m/>
    <s v="slb_plugin_rm_biciso.so"/>
    <s v="}},"/>
  </r>
  <r>
    <x v="0"/>
    <x v="121"/>
    <x v="0"/>
    <n v="5"/>
    <n v="10173"/>
    <s v="client"/>
    <m/>
    <s v="iBHb2"/>
    <s v="172.26.38.18"/>
    <n v="5573"/>
    <s v="iBHb2"/>
    <s v="172.29.9.67"/>
    <s v="35573"/>
    <m/>
    <m/>
    <s v="slb_plugin_rm_biciso.so"/>
    <s v="}},"/>
  </r>
  <r>
    <x v="0"/>
    <x v="122"/>
    <x v="0"/>
    <n v="6"/>
    <n v="10174"/>
    <s v="client"/>
    <m/>
    <s v="iBHb2"/>
    <s v="172.26.38.18"/>
    <n v="5574"/>
    <s v="iBHb2"/>
    <s v="172.29.9.67"/>
    <s v="35574"/>
    <m/>
    <m/>
    <s v="slb_plugin_rm_biciso.so"/>
    <s v="}}}},"/>
  </r>
  <r>
    <x v="30"/>
    <x v="123"/>
    <x v="0"/>
    <n v="1"/>
    <n v="10175"/>
    <s v="client"/>
    <m/>
    <s v="iBHb2"/>
    <s v="172.26.38.18"/>
    <n v="5575"/>
    <s v="iBHb2"/>
    <s v="172.29.9.67"/>
    <s v="35575"/>
    <m/>
    <m/>
    <s v="slb_plugin_rm_biciso.so"/>
    <s v="}},"/>
  </r>
  <r>
    <x v="0"/>
    <x v="124"/>
    <x v="0"/>
    <n v="2"/>
    <n v="10176"/>
    <s v="client"/>
    <m/>
    <s v="iBHb2"/>
    <s v="172.26.38.18"/>
    <n v="5576"/>
    <s v="iBHb2"/>
    <s v="172.29.9.67"/>
    <s v="35576"/>
    <m/>
    <m/>
    <s v="slb_plugin_rm_biciso.so"/>
    <s v="}},"/>
  </r>
  <r>
    <x v="0"/>
    <x v="125"/>
    <x v="0"/>
    <n v="3"/>
    <n v="10177"/>
    <s v="client"/>
    <m/>
    <s v="iBHb2"/>
    <s v="172.26.38.18"/>
    <n v="5577"/>
    <s v="iBHb2"/>
    <s v="172.29.9.67"/>
    <s v="35577"/>
    <m/>
    <m/>
    <s v="slb_plugin_rm_biciso.so"/>
    <s v="}},"/>
  </r>
  <r>
    <x v="0"/>
    <x v="126"/>
    <x v="0"/>
    <n v="4"/>
    <n v="10178"/>
    <s v="client"/>
    <m/>
    <s v="iBHb2"/>
    <s v="172.26.38.18"/>
    <n v="5578"/>
    <s v="iBHb2"/>
    <s v="172.29.9.67"/>
    <s v="35578"/>
    <m/>
    <m/>
    <s v="slb_plugin_rm_biciso.so"/>
    <s v="}},"/>
  </r>
  <r>
    <x v="0"/>
    <x v="127"/>
    <x v="0"/>
    <n v="5"/>
    <n v="10179"/>
    <s v="client"/>
    <m/>
    <s v="iBHb2"/>
    <s v="172.26.38.18"/>
    <n v="5579"/>
    <s v="iBHb2"/>
    <s v="172.29.9.67"/>
    <s v="35579"/>
    <m/>
    <m/>
    <s v="slb_plugin_rm_biciso.so"/>
    <s v="}},"/>
  </r>
  <r>
    <x v="0"/>
    <x v="128"/>
    <x v="0"/>
    <n v="6"/>
    <n v="10180"/>
    <s v="client"/>
    <m/>
    <s v="iBHb2"/>
    <s v="172.26.38.18"/>
    <n v="5580"/>
    <s v="iBHb2"/>
    <s v="172.29.9.67"/>
    <s v="35580"/>
    <m/>
    <m/>
    <s v="slb_plugin_rm_biciso.so"/>
    <s v="}}}},"/>
  </r>
  <r>
    <x v="31"/>
    <x v="129"/>
    <x v="0"/>
    <n v="1"/>
    <n v="10181"/>
    <s v="client"/>
    <m/>
    <s v="iBHb2"/>
    <s v="172.26.38.18"/>
    <n v="5581"/>
    <s v="iBHb2"/>
    <s v="172.29.9.67"/>
    <s v="35581"/>
    <m/>
    <m/>
    <s v="slb_plugin_rm_biciso.so"/>
    <s v="}},"/>
  </r>
  <r>
    <x v="0"/>
    <x v="130"/>
    <x v="0"/>
    <n v="2"/>
    <n v="10182"/>
    <s v="client"/>
    <m/>
    <s v="iBHb2"/>
    <s v="172.26.38.18"/>
    <n v="5582"/>
    <s v="iBHb2"/>
    <s v="172.29.9.67"/>
    <s v="35582"/>
    <m/>
    <m/>
    <s v="slb_plugin_rm_biciso.so"/>
    <s v="}},"/>
  </r>
  <r>
    <x v="0"/>
    <x v="131"/>
    <x v="0"/>
    <n v="3"/>
    <n v="10183"/>
    <s v="client"/>
    <m/>
    <s v="iBHb2"/>
    <s v="172.26.38.18"/>
    <n v="5583"/>
    <s v="iBHb2"/>
    <s v="172.29.9.67"/>
    <s v="35583"/>
    <m/>
    <m/>
    <s v="slb_plugin_rm_biciso.so"/>
    <s v="}},"/>
  </r>
  <r>
    <x v="0"/>
    <x v="132"/>
    <x v="0"/>
    <n v="4"/>
    <n v="10184"/>
    <s v="client"/>
    <m/>
    <s v="iBHb2"/>
    <s v="172.26.38.18"/>
    <n v="5584"/>
    <s v="iBHb2"/>
    <s v="172.29.9.67"/>
    <s v="35584"/>
    <m/>
    <m/>
    <s v="slb_plugin_rm_biciso.so"/>
    <s v="}},"/>
  </r>
  <r>
    <x v="0"/>
    <x v="133"/>
    <x v="0"/>
    <n v="5"/>
    <n v="10185"/>
    <s v="client"/>
    <m/>
    <s v="iBHb2"/>
    <s v="172.26.38.18"/>
    <n v="5585"/>
    <s v="iBHb2"/>
    <s v="172.29.9.67"/>
    <s v="35585"/>
    <m/>
    <m/>
    <s v="slb_plugin_rm_biciso.so"/>
    <s v="}},"/>
  </r>
  <r>
    <x v="0"/>
    <x v="134"/>
    <x v="0"/>
    <n v="6"/>
    <n v="10186"/>
    <s v="client"/>
    <m/>
    <s v="iBHb2"/>
    <s v="172.26.38.18"/>
    <n v="5586"/>
    <s v="iBHb2"/>
    <s v="172.29.9.67"/>
    <s v="35586"/>
    <m/>
    <m/>
    <s v="slb_plugin_rm_biciso.so"/>
    <s v="}}}},"/>
  </r>
  <r>
    <x v="32"/>
    <x v="135"/>
    <x v="1"/>
    <n v="1"/>
    <n v="10570"/>
    <s v="server"/>
    <s v="10.107.32.24"/>
    <s v="BHb2"/>
    <m/>
    <n v="8810"/>
    <s v="BHb2"/>
    <s v="172.29.9.67"/>
    <n v="38810"/>
    <m/>
    <m/>
    <s v="slb_plugin_rm_biciso.so"/>
    <s v="}},"/>
  </r>
  <r>
    <x v="0"/>
    <x v="136"/>
    <x v="1"/>
    <n v="2"/>
    <n v="10571"/>
    <s v="server"/>
    <s v="10.107.32.24"/>
    <s v="BHb2"/>
    <m/>
    <n v="8811"/>
    <s v="BHb2"/>
    <s v="172.29.9.67"/>
    <n v="38811"/>
    <m/>
    <m/>
    <s v="slb_plugin_rm_biciso.so"/>
    <s v="}},"/>
  </r>
  <r>
    <x v="0"/>
    <x v="137"/>
    <x v="1"/>
    <n v="3"/>
    <n v="10590"/>
    <s v="client"/>
    <m/>
    <s v="BHb2"/>
    <s v="172.26.38.18"/>
    <n v="8810"/>
    <s v="BHb2"/>
    <s v="172.29.9.67"/>
    <n v="58810"/>
    <m/>
    <m/>
    <s v="slb_plugin_rm_biciso.so"/>
    <s v="}},"/>
  </r>
  <r>
    <x v="0"/>
    <x v="138"/>
    <x v="1"/>
    <n v="4"/>
    <n v="10591"/>
    <s v="client"/>
    <m/>
    <s v="BHb2"/>
    <s v="172.26.38.18"/>
    <n v="8811"/>
    <s v="BHb2"/>
    <s v="172.29.9.67"/>
    <n v="58811"/>
    <m/>
    <m/>
    <s v="slb_plugin_rm_biciso.so"/>
    <s v="}}}},"/>
  </r>
  <r>
    <x v="33"/>
    <x v="139"/>
    <x v="1"/>
    <n v="1"/>
    <s v="10315"/>
    <s v="server"/>
    <s v="172.16.27.50"/>
    <s v="iBHb2"/>
    <m/>
    <n v="5307"/>
    <s v="iBHb2"/>
    <s v="172.29.9.67"/>
    <n v="35307"/>
    <m/>
    <m/>
    <s v="slb_plugin_rm_amex.so"/>
    <s v="}},"/>
  </r>
  <r>
    <x v="0"/>
    <x v="140"/>
    <x v="1"/>
    <n v="2"/>
    <s v="10316"/>
    <s v="server"/>
    <s v="172.16.27.50"/>
    <s v="iBHb2"/>
    <m/>
    <n v="6307"/>
    <s v="iBHb2"/>
    <s v="172.29.9.67"/>
    <n v="36307"/>
    <m/>
    <m/>
    <s v="slb_plugin_rm_amex.so"/>
    <s v="}}}},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D6:D47" firstHeaderRow="1" firstDataRow="1" firstDataCol="1" rowPageCount="1" colPageCount="1"/>
  <pivotFields count="17">
    <pivotField axis="axisRow" showAll="0">
      <items count="3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m="1" x="34"/>
        <item m="1" x="35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0"/>
        <item x="32"/>
        <item x="33"/>
        <item t="default"/>
      </items>
    </pivotField>
    <pivotField axis="axisRow" showAll="0">
      <items count="142">
        <item x="9"/>
        <item x="10"/>
        <item x="7"/>
        <item x="8"/>
        <item x="3"/>
        <item x="4"/>
        <item x="5"/>
        <item x="6"/>
        <item x="86"/>
        <item x="87"/>
        <item x="49"/>
        <item x="50"/>
        <item x="97"/>
        <item x="98"/>
        <item x="24"/>
        <item x="23"/>
        <item x="21"/>
        <item x="26"/>
        <item x="22"/>
        <item x="139"/>
        <item x="140"/>
        <item x="92"/>
        <item x="93"/>
        <item x="94"/>
        <item x="1"/>
        <item x="2"/>
        <item x="66"/>
        <item x="67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59"/>
        <item x="47"/>
        <item x="48"/>
        <item x="95"/>
        <item x="96"/>
        <item x="79"/>
        <item x="80"/>
        <item x="60"/>
        <item x="61"/>
        <item x="41"/>
        <item x="42"/>
        <item x="35"/>
        <item x="36"/>
        <item x="39"/>
        <item x="40"/>
        <item x="37"/>
        <item x="38"/>
        <item x="43"/>
        <item x="44"/>
        <item x="45"/>
        <item x="46"/>
        <item x="25"/>
        <item x="137"/>
        <item x="138"/>
        <item x="135"/>
        <item x="136"/>
        <item x="81"/>
        <item x="82"/>
        <item x="83"/>
        <item x="84"/>
        <item x="70"/>
        <item x="71"/>
        <item x="68"/>
        <item x="69"/>
        <item x="75"/>
        <item x="76"/>
        <item x="77"/>
        <item x="78"/>
        <item x="90"/>
        <item x="91"/>
        <item x="88"/>
        <item x="89"/>
        <item x="64"/>
        <item x="65"/>
        <item x="62"/>
        <item x="63"/>
        <item x="85"/>
        <item x="11"/>
        <item x="12"/>
        <item x="15"/>
        <item x="16"/>
        <item x="14"/>
        <item x="13"/>
        <item x="18"/>
        <item x="17"/>
        <item x="73"/>
        <item x="72"/>
        <item x="74"/>
        <item x="51"/>
        <item x="52"/>
        <item x="53"/>
        <item x="54"/>
        <item x="55"/>
        <item x="56"/>
        <item x="57"/>
        <item x="58"/>
        <item x="19"/>
        <item x="20"/>
        <item x="31"/>
        <item x="32"/>
        <item x="29"/>
        <item x="30"/>
        <item x="27"/>
        <item x="28"/>
        <item x="33"/>
        <item x="34"/>
        <item h="1"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41">
    <i>
      <x/>
    </i>
    <i r="1">
      <x v="24"/>
    </i>
    <i>
      <x v="2"/>
    </i>
    <i r="1">
      <x/>
    </i>
    <i>
      <x v="4"/>
    </i>
    <i r="1">
      <x v="130"/>
    </i>
    <i>
      <x v="5"/>
    </i>
    <i r="1">
      <x v="16"/>
    </i>
    <i>
      <x v="6"/>
    </i>
    <i r="1">
      <x v="18"/>
    </i>
    <i>
      <x v="7"/>
    </i>
    <i r="1">
      <x v="136"/>
    </i>
    <i>
      <x v="8"/>
    </i>
    <i r="1">
      <x v="73"/>
    </i>
    <i>
      <x v="9"/>
    </i>
    <i r="1">
      <x v="83"/>
    </i>
    <i>
      <x v="10"/>
    </i>
    <i r="1">
      <x v="65"/>
    </i>
    <i>
      <x v="11"/>
    </i>
    <i r="1">
      <x v="64"/>
    </i>
    <i>
      <x v="12"/>
    </i>
    <i r="1">
      <x v="71"/>
    </i>
    <i>
      <x v="13"/>
    </i>
    <i r="1">
      <x v="108"/>
    </i>
    <i>
      <x v="14"/>
    </i>
    <i r="1">
      <x v="26"/>
    </i>
    <i>
      <x v="15"/>
    </i>
    <i r="1">
      <x v="96"/>
    </i>
    <i>
      <x v="17"/>
    </i>
    <i r="1">
      <x v="98"/>
    </i>
    <i>
      <x v="21"/>
    </i>
    <i r="1">
      <x v="90"/>
    </i>
    <i>
      <x v="24"/>
    </i>
    <i r="1">
      <x v="102"/>
    </i>
    <i>
      <x v="25"/>
    </i>
    <i r="1">
      <x v="21"/>
    </i>
    <i>
      <x v="34"/>
    </i>
    <i r="1">
      <x v="88"/>
    </i>
    <i>
      <x v="35"/>
    </i>
    <i r="1">
      <x v="19"/>
    </i>
    <i t="grand">
      <x/>
    </i>
  </rowItems>
  <colItems count="1">
    <i/>
  </colItems>
  <pageFields count="1">
    <pageField fld="2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35"/>
  <sheetViews>
    <sheetView tabSelected="1" zoomScale="118" zoomScaleNormal="118" workbookViewId="0">
      <selection activeCell="R518" sqref="R518:R635"/>
    </sheetView>
  </sheetViews>
  <sheetFormatPr defaultColWidth="8.7265625" defaultRowHeight="14.5"/>
  <cols>
    <col min="1" max="1" width="15.26953125" bestFit="1" customWidth="1"/>
    <col min="2" max="2" width="41.1796875" bestFit="1" customWidth="1"/>
    <col min="3" max="3" width="13.90625" bestFit="1" customWidth="1"/>
    <col min="4" max="4" width="5.6328125" customWidth="1"/>
    <col min="5" max="5" width="14" style="5" customWidth="1"/>
    <col min="6" max="6" width="10.54296875" customWidth="1"/>
    <col min="7" max="7" width="15.453125" customWidth="1"/>
    <col min="8" max="8" width="10.1796875" customWidth="1"/>
    <col min="9" max="9" width="16" customWidth="1"/>
    <col min="10" max="10" width="14.453125" bestFit="1" customWidth="1"/>
    <col min="11" max="11" width="11.81640625" customWidth="1"/>
    <col min="12" max="12" width="13.453125" bestFit="1" customWidth="1"/>
    <col min="13" max="13" width="9.81640625" bestFit="1" customWidth="1"/>
    <col min="14" max="14" width="22.54296875" bestFit="1" customWidth="1"/>
    <col min="15" max="15" width="9.81640625" bestFit="1" customWidth="1"/>
    <col min="16" max="16" width="27" customWidth="1"/>
    <col min="17" max="17" width="18" customWidth="1"/>
    <col min="18" max="18" width="53.7265625" style="4" customWidth="1"/>
  </cols>
  <sheetData>
    <row r="1" spans="1:18">
      <c r="B1" s="1" t="s">
        <v>500</v>
      </c>
    </row>
    <row r="2" spans="1:18">
      <c r="A2" s="1" t="s">
        <v>1</v>
      </c>
      <c r="B2" t="s">
        <v>2</v>
      </c>
    </row>
    <row r="3" spans="1:18">
      <c r="A3" s="1" t="s">
        <v>3</v>
      </c>
      <c r="B3" t="s">
        <v>92</v>
      </c>
    </row>
    <row r="4" spans="1:18">
      <c r="A4" s="1" t="s">
        <v>4</v>
      </c>
    </row>
    <row r="5" spans="1:18" ht="58.5" customHeight="1">
      <c r="A5" s="84" t="s">
        <v>79</v>
      </c>
      <c r="B5" s="84" t="s">
        <v>9</v>
      </c>
      <c r="C5" s="84" t="s">
        <v>495</v>
      </c>
      <c r="D5" s="84" t="s">
        <v>7</v>
      </c>
      <c r="E5" s="84" t="s">
        <v>58</v>
      </c>
      <c r="F5" s="84" t="s">
        <v>27</v>
      </c>
      <c r="G5" s="84" t="s">
        <v>11</v>
      </c>
      <c r="H5" s="85" t="s">
        <v>61</v>
      </c>
      <c r="I5" s="84" t="s">
        <v>12</v>
      </c>
      <c r="J5" s="84" t="s">
        <v>15</v>
      </c>
      <c r="K5" s="85" t="s">
        <v>62</v>
      </c>
      <c r="L5" s="84" t="s">
        <v>23</v>
      </c>
      <c r="M5" s="84" t="s">
        <v>25</v>
      </c>
      <c r="N5" s="84" t="s">
        <v>24</v>
      </c>
      <c r="O5" s="84" t="s">
        <v>26</v>
      </c>
      <c r="P5" s="84" t="s">
        <v>93</v>
      </c>
      <c r="Q5" s="85" t="s">
        <v>54</v>
      </c>
      <c r="R5" s="3" t="str">
        <f>CONCATENATE("{""",B2,""":{")</f>
        <v>{"172.29.12.67":{</v>
      </c>
    </row>
    <row r="6" spans="1:18">
      <c r="A6" s="59"/>
      <c r="B6" s="59"/>
      <c r="C6" s="62" t="s">
        <v>496</v>
      </c>
      <c r="D6" s="59"/>
      <c r="E6" s="59"/>
      <c r="F6" s="59"/>
      <c r="G6" s="59"/>
      <c r="H6" s="58"/>
      <c r="I6" s="59"/>
      <c r="J6" s="59"/>
      <c r="K6" s="58"/>
      <c r="L6" s="59"/>
      <c r="M6" s="59"/>
      <c r="N6" s="59"/>
      <c r="O6" s="59"/>
      <c r="P6" s="59"/>
      <c r="Q6" s="58"/>
      <c r="R6" s="3" t="str">
        <f>IF(C6="S",CONCATENATE("""nodes"":{"),"")</f>
        <v/>
      </c>
    </row>
    <row r="7" spans="1:18">
      <c r="A7" s="60">
        <v>1</v>
      </c>
      <c r="B7" s="59"/>
      <c r="C7" s="62" t="s">
        <v>496</v>
      </c>
      <c r="D7" s="59"/>
      <c r="E7" s="59"/>
      <c r="F7" s="59"/>
      <c r="G7" s="59"/>
      <c r="H7" s="58"/>
      <c r="I7" s="59"/>
      <c r="J7" s="59"/>
      <c r="K7" s="58" t="s">
        <v>498</v>
      </c>
      <c r="L7" s="59" t="s">
        <v>13</v>
      </c>
      <c r="M7" s="59">
        <v>5218</v>
      </c>
      <c r="N7" s="59"/>
      <c r="O7" s="59"/>
      <c r="P7" s="59"/>
      <c r="Q7" s="58" t="s">
        <v>52</v>
      </c>
      <c r="R7" s="3" t="str">
        <f>IF(C7="S",CONCATENATE(IF(A7&lt;&gt;"",CONCATENATE("""",A7,"""",":{","""","ip"":""",L7,""",""ports"":{""",M7,""":""",K7,"""",Q7))),"")</f>
        <v/>
      </c>
    </row>
    <row r="8" spans="1:18">
      <c r="A8" s="87"/>
      <c r="B8" s="87"/>
      <c r="C8" s="88" t="s">
        <v>497</v>
      </c>
      <c r="D8" s="87"/>
      <c r="E8" s="87"/>
      <c r="F8" s="87"/>
      <c r="G8" s="87"/>
      <c r="H8" s="89"/>
      <c r="I8" s="87"/>
      <c r="J8" s="87"/>
      <c r="K8" s="89"/>
      <c r="L8" s="87"/>
      <c r="M8" s="87"/>
      <c r="N8" s="87"/>
      <c r="O8" s="87"/>
      <c r="P8" s="87"/>
      <c r="Q8" s="89"/>
      <c r="R8" s="3" t="str">
        <f>IF(C8="S",CONCATENATE("""routers"":{"),"")</f>
        <v>"routers":{</v>
      </c>
    </row>
    <row r="9" spans="1:18">
      <c r="A9" s="30">
        <v>1</v>
      </c>
      <c r="B9" s="7" t="s">
        <v>220</v>
      </c>
      <c r="C9" s="7" t="s">
        <v>497</v>
      </c>
      <c r="D9" s="8">
        <v>1</v>
      </c>
      <c r="E9" s="43" t="s">
        <v>227</v>
      </c>
      <c r="F9" s="8" t="s">
        <v>8</v>
      </c>
      <c r="G9" s="8" t="s">
        <v>217</v>
      </c>
      <c r="H9" s="8" t="s">
        <v>437</v>
      </c>
      <c r="I9" s="8"/>
      <c r="J9" s="8">
        <v>6103</v>
      </c>
      <c r="K9" s="33" t="s">
        <v>437</v>
      </c>
      <c r="L9" s="33" t="str">
        <f t="shared" ref="L9:L158" si="0">+$B$3</f>
        <v>172.29.9.67</v>
      </c>
      <c r="M9" s="33">
        <v>36103</v>
      </c>
      <c r="N9" s="33"/>
      <c r="O9" s="33"/>
      <c r="P9" s="33" t="s">
        <v>94</v>
      </c>
      <c r="Q9" s="34" t="s">
        <v>95</v>
      </c>
      <c r="R9" s="3" t="str">
        <f>IF(C9="S",CONCATENATE(IF(A9&lt;&gt;"",CONCATENATE("""",A9,"""",":{","""","rules","""",":{"),""),"""",D9,""":{""type"":""con"",""dst_persist"":""n"",""src"":{""",M9,""":{""raddr"":""",L9,":0"",""mhdr"":""",K9,""",","""name""",":","""NODO-01","""}},","""dst"":{""mode"":""",F9,""",""raddr"":""",IF(F9="server",G9,I9),":",IF(F9="server",0,J9),""",""",IF(F9="server","lport","mhdr"),""":""",IF(F9="server",J9,""),IF(F9="server"," ",""),H9,""",","""name""",":","""",B9,IF(P9&lt;&gt;"",CONCATENATE("""},","""plugin""",": {","""file""",":""",P9,""",","""type""",":","""","RM""",",","""args""",": {","""nodrop""",":","""n""","}")),Q9),"")</f>
        <v>"1":{"rules":{"1":{"type":"con","dst_persist":"n","src":{"36103":{"raddr":"172.29.9.67:0","mhdr":"iBHb2","name":"NODO-01"}},"dst":{"mode":"server","raddr":"172.16.27.50:0","lport":"6103 iBHb2","name":"Bancolombia VISA (FiServ) 1"},"plugin": {"file":"slb_plugin_rm_biciso.so","type":"RM","args": {"nodrop":"n"}}},</v>
      </c>
    </row>
    <row r="10" spans="1:18" ht="15" thickBot="1">
      <c r="A10" s="40"/>
      <c r="B10" s="16" t="s">
        <v>221</v>
      </c>
      <c r="C10" s="16" t="s">
        <v>497</v>
      </c>
      <c r="D10" s="17">
        <v>2</v>
      </c>
      <c r="E10" s="44" t="s">
        <v>228</v>
      </c>
      <c r="F10" s="17" t="s">
        <v>8</v>
      </c>
      <c r="G10" s="17" t="s">
        <v>217</v>
      </c>
      <c r="H10" s="17" t="s">
        <v>437</v>
      </c>
      <c r="I10" s="17"/>
      <c r="J10" s="17">
        <v>7103</v>
      </c>
      <c r="K10" s="35" t="s">
        <v>437</v>
      </c>
      <c r="L10" s="35" t="str">
        <f t="shared" si="0"/>
        <v>172.29.9.67</v>
      </c>
      <c r="M10" s="35">
        <v>37103</v>
      </c>
      <c r="N10" s="35"/>
      <c r="O10" s="35"/>
      <c r="P10" s="35" t="s">
        <v>94</v>
      </c>
      <c r="Q10" s="36" t="s">
        <v>96</v>
      </c>
      <c r="R10" s="3" t="str">
        <f t="shared" ref="R10:R73" si="1">IF(C10="S",CONCATENATE(IF(A10&lt;&gt;"",CONCATENATE("""",A10,"""",":{","""","rules","""",":{"),""),"""",D10,""":{""type"":""con"",""dst_persist"":""n"",""src"":{""",M10,""":{""raddr"":""",L10,":0"",""mhdr"":""",K10,""",","""name""",":","""NODO-01","""}},","""dst"":{""mode"":""",F10,""",""raddr"":""",IF(F10="server",G10,I10),":",IF(F10="server",0,J10),""",""",IF(F10="server","lport","mhdr"),""":""",IF(F10="server",J10,""),IF(F10="server"," ",""),H10,""",","""name""",":","""",B10,IF(P10&lt;&gt;"",CONCATENATE("""},","""plugin""",": {","""file""",":""",P10,""",","""type""",":","""","RM""",",","""args""",": {","""nodrop""",":","""n""","}")),Q10),"")</f>
        <v>"2":{"type":"con","dst_persist":"n","src":{"37103":{"raddr":"172.29.9.67:0","mhdr":"iBHb2","name":"NODO-01"}},"dst":{"mode":"server","raddr":"172.16.27.50:0","lport":"7103 iBHb2","name":"Bancolombia VISA (FiServ) 2"},"plugin": {"file":"slb_plugin_rm_biciso.so","type":"RM","args": {"nodrop":"n"}}}}},</v>
      </c>
    </row>
    <row r="11" spans="1:18">
      <c r="A11" s="92">
        <f>A9+1</f>
        <v>2</v>
      </c>
      <c r="B11" s="23" t="s">
        <v>133</v>
      </c>
      <c r="C11" s="23" t="str">
        <f>IF(C181="S","N","S")</f>
        <v>N</v>
      </c>
      <c r="D11" s="29">
        <v>1</v>
      </c>
      <c r="E11" s="93" t="s">
        <v>358</v>
      </c>
      <c r="F11" s="29" t="s">
        <v>8</v>
      </c>
      <c r="G11" s="29" t="s">
        <v>13</v>
      </c>
      <c r="H11" s="29" t="s">
        <v>437</v>
      </c>
      <c r="I11" s="29"/>
      <c r="J11" s="29">
        <v>35903</v>
      </c>
      <c r="K11" s="32" t="s">
        <v>437</v>
      </c>
      <c r="L11" s="32" t="str">
        <f t="shared" ref="L11:L76" si="2">+$B$3</f>
        <v>172.29.9.67</v>
      </c>
      <c r="M11" s="32">
        <v>25903</v>
      </c>
      <c r="N11" s="32"/>
      <c r="O11" s="32"/>
      <c r="P11" s="32" t="s">
        <v>136</v>
      </c>
      <c r="Q11" s="49" t="s">
        <v>95</v>
      </c>
      <c r="R11" s="3" t="str">
        <f t="shared" si="1"/>
        <v/>
      </c>
    </row>
    <row r="12" spans="1:18">
      <c r="A12" s="63"/>
      <c r="B12" s="7" t="s">
        <v>134</v>
      </c>
      <c r="C12" s="7" t="str">
        <f t="shared" ref="C12:C18" si="3">IF(C182="S","N","S")</f>
        <v>N</v>
      </c>
      <c r="D12" s="8">
        <v>2</v>
      </c>
      <c r="E12" s="43" t="s">
        <v>359</v>
      </c>
      <c r="F12" s="8" t="s">
        <v>8</v>
      </c>
      <c r="G12" s="8" t="s">
        <v>13</v>
      </c>
      <c r="H12" s="8" t="s">
        <v>437</v>
      </c>
      <c r="I12" s="8"/>
      <c r="J12" s="8">
        <v>35904</v>
      </c>
      <c r="K12" s="33" t="s">
        <v>437</v>
      </c>
      <c r="L12" s="33" t="str">
        <f t="shared" si="2"/>
        <v>172.29.9.67</v>
      </c>
      <c r="M12" s="33">
        <v>25904</v>
      </c>
      <c r="N12" s="33"/>
      <c r="O12" s="33"/>
      <c r="P12" s="33" t="s">
        <v>136</v>
      </c>
      <c r="Q12" s="34" t="s">
        <v>95</v>
      </c>
      <c r="R12" s="3" t="str">
        <f t="shared" si="1"/>
        <v/>
      </c>
    </row>
    <row r="13" spans="1:18">
      <c r="A13" s="63"/>
      <c r="B13" s="7" t="s">
        <v>32</v>
      </c>
      <c r="C13" s="7" t="str">
        <f t="shared" si="3"/>
        <v>N</v>
      </c>
      <c r="D13" s="8">
        <v>3</v>
      </c>
      <c r="E13" s="43" t="s">
        <v>360</v>
      </c>
      <c r="F13" s="8" t="s">
        <v>14</v>
      </c>
      <c r="G13" s="8"/>
      <c r="H13" s="8" t="s">
        <v>437</v>
      </c>
      <c r="I13" s="8" t="s">
        <v>135</v>
      </c>
      <c r="J13" s="8">
        <v>35903</v>
      </c>
      <c r="K13" s="33" t="s">
        <v>437</v>
      </c>
      <c r="L13" s="33" t="str">
        <f t="shared" si="2"/>
        <v>172.29.9.67</v>
      </c>
      <c r="M13" s="33">
        <v>55903</v>
      </c>
      <c r="N13" s="33"/>
      <c r="O13" s="33"/>
      <c r="P13" s="33" t="s">
        <v>136</v>
      </c>
      <c r="Q13" s="34" t="s">
        <v>95</v>
      </c>
      <c r="R13" s="3" t="str">
        <f t="shared" si="1"/>
        <v/>
      </c>
    </row>
    <row r="14" spans="1:18" ht="15" thickBot="1">
      <c r="A14" s="64"/>
      <c r="B14" s="16" t="s">
        <v>33</v>
      </c>
      <c r="C14" s="16" t="str">
        <f t="shared" si="3"/>
        <v>N</v>
      </c>
      <c r="D14" s="17">
        <v>4</v>
      </c>
      <c r="E14" s="44" t="s">
        <v>361</v>
      </c>
      <c r="F14" s="17" t="s">
        <v>14</v>
      </c>
      <c r="G14" s="17"/>
      <c r="H14" s="17" t="s">
        <v>437</v>
      </c>
      <c r="I14" s="17" t="s">
        <v>135</v>
      </c>
      <c r="J14" s="17">
        <v>35904</v>
      </c>
      <c r="K14" s="35" t="s">
        <v>437</v>
      </c>
      <c r="L14" s="35" t="str">
        <f t="shared" si="2"/>
        <v>172.29.9.67</v>
      </c>
      <c r="M14" s="35">
        <v>55904</v>
      </c>
      <c r="N14" s="35"/>
      <c r="O14" s="35"/>
      <c r="P14" s="35" t="s">
        <v>136</v>
      </c>
      <c r="Q14" s="36" t="s">
        <v>96</v>
      </c>
      <c r="R14" s="3" t="str">
        <f t="shared" si="1"/>
        <v/>
      </c>
    </row>
    <row r="15" spans="1:18" ht="15" thickBot="1">
      <c r="A15" s="92">
        <f>A11+1</f>
        <v>3</v>
      </c>
      <c r="B15" s="23" t="s">
        <v>34</v>
      </c>
      <c r="C15" s="16" t="str">
        <f t="shared" si="3"/>
        <v>N</v>
      </c>
      <c r="D15" s="29">
        <v>1</v>
      </c>
      <c r="E15" s="93" t="s">
        <v>362</v>
      </c>
      <c r="F15" s="29" t="s">
        <v>14</v>
      </c>
      <c r="G15" s="29"/>
      <c r="H15" s="29" t="s">
        <v>437</v>
      </c>
      <c r="I15" s="29" t="s">
        <v>135</v>
      </c>
      <c r="J15" s="11">
        <v>35168</v>
      </c>
      <c r="K15" s="32" t="s">
        <v>437</v>
      </c>
      <c r="L15" s="32" t="str">
        <f t="shared" si="2"/>
        <v>172.29.9.67</v>
      </c>
      <c r="M15" s="32">
        <v>55168</v>
      </c>
      <c r="N15" s="32"/>
      <c r="O15" s="32"/>
      <c r="P15" s="32" t="s">
        <v>136</v>
      </c>
      <c r="Q15" s="49" t="s">
        <v>95</v>
      </c>
      <c r="R15" s="3" t="str">
        <f t="shared" si="1"/>
        <v/>
      </c>
    </row>
    <row r="16" spans="1:18" ht="15" thickBot="1">
      <c r="A16" s="63"/>
      <c r="B16" s="7" t="s">
        <v>35</v>
      </c>
      <c r="C16" s="16" t="str">
        <f t="shared" si="3"/>
        <v>N</v>
      </c>
      <c r="D16" s="8">
        <v>2</v>
      </c>
      <c r="E16" s="43" t="s">
        <v>363</v>
      </c>
      <c r="F16" s="8" t="s">
        <v>14</v>
      </c>
      <c r="G16" s="8"/>
      <c r="H16" s="8" t="s">
        <v>437</v>
      </c>
      <c r="I16" s="8" t="s">
        <v>135</v>
      </c>
      <c r="J16" s="6">
        <v>35169</v>
      </c>
      <c r="K16" s="33" t="s">
        <v>437</v>
      </c>
      <c r="L16" s="33" t="str">
        <f t="shared" si="2"/>
        <v>172.29.9.67</v>
      </c>
      <c r="M16" s="33">
        <v>55169</v>
      </c>
      <c r="N16" s="33"/>
      <c r="O16" s="33"/>
      <c r="P16" s="33" t="s">
        <v>136</v>
      </c>
      <c r="Q16" s="34" t="s">
        <v>95</v>
      </c>
      <c r="R16" s="3" t="str">
        <f t="shared" si="1"/>
        <v/>
      </c>
    </row>
    <row r="17" spans="1:18" ht="15" thickBot="1">
      <c r="A17" s="63"/>
      <c r="B17" s="7" t="s">
        <v>36</v>
      </c>
      <c r="C17" s="16" t="str">
        <f t="shared" si="3"/>
        <v>N</v>
      </c>
      <c r="D17" s="8">
        <v>3</v>
      </c>
      <c r="E17" s="43" t="s">
        <v>364</v>
      </c>
      <c r="F17" s="8" t="s">
        <v>14</v>
      </c>
      <c r="G17" s="8"/>
      <c r="H17" s="8" t="s">
        <v>437</v>
      </c>
      <c r="I17" s="8" t="s">
        <v>135</v>
      </c>
      <c r="J17" s="8">
        <v>30094</v>
      </c>
      <c r="K17" s="33" t="s">
        <v>437</v>
      </c>
      <c r="L17" s="33" t="str">
        <f t="shared" si="2"/>
        <v>172.29.9.67</v>
      </c>
      <c r="M17" s="33">
        <v>50094</v>
      </c>
      <c r="N17" s="33"/>
      <c r="O17" s="33"/>
      <c r="P17" s="33" t="s">
        <v>136</v>
      </c>
      <c r="Q17" s="34" t="s">
        <v>95</v>
      </c>
      <c r="R17" s="3" t="str">
        <f t="shared" si="1"/>
        <v/>
      </c>
    </row>
    <row r="18" spans="1:18" ht="15" thickBot="1">
      <c r="A18" s="64"/>
      <c r="B18" s="16" t="s">
        <v>37</v>
      </c>
      <c r="C18" s="16" t="str">
        <f t="shared" si="3"/>
        <v>N</v>
      </c>
      <c r="D18" s="17">
        <v>4</v>
      </c>
      <c r="E18" s="44" t="s">
        <v>365</v>
      </c>
      <c r="F18" s="17" t="s">
        <v>14</v>
      </c>
      <c r="G18" s="17"/>
      <c r="H18" s="17" t="s">
        <v>437</v>
      </c>
      <c r="I18" s="17" t="s">
        <v>135</v>
      </c>
      <c r="J18" s="17">
        <v>30095</v>
      </c>
      <c r="K18" s="35" t="s">
        <v>437</v>
      </c>
      <c r="L18" s="35" t="str">
        <f t="shared" si="2"/>
        <v>172.29.9.67</v>
      </c>
      <c r="M18" s="35">
        <v>50095</v>
      </c>
      <c r="N18" s="35"/>
      <c r="O18" s="35"/>
      <c r="P18" s="35" t="s">
        <v>136</v>
      </c>
      <c r="Q18" s="36" t="s">
        <v>96</v>
      </c>
      <c r="R18" s="3" t="str">
        <f t="shared" si="1"/>
        <v/>
      </c>
    </row>
    <row r="19" spans="1:18">
      <c r="A19" s="92">
        <f>A15+1</f>
        <v>4</v>
      </c>
      <c r="B19" s="23" t="s">
        <v>40</v>
      </c>
      <c r="C19" s="23" t="str">
        <f>IF(C193="S","N","S")</f>
        <v>N</v>
      </c>
      <c r="D19" s="29">
        <v>1</v>
      </c>
      <c r="E19" s="93" t="s">
        <v>370</v>
      </c>
      <c r="F19" s="29" t="s">
        <v>8</v>
      </c>
      <c r="G19" s="29" t="s">
        <v>13</v>
      </c>
      <c r="H19" s="29" t="s">
        <v>437</v>
      </c>
      <c r="I19" s="29"/>
      <c r="J19" s="29">
        <v>12606</v>
      </c>
      <c r="K19" s="32" t="s">
        <v>437</v>
      </c>
      <c r="L19" s="32" t="str">
        <f t="shared" si="2"/>
        <v>172.29.9.67</v>
      </c>
      <c r="M19" s="32">
        <v>32606</v>
      </c>
      <c r="N19" s="32"/>
      <c r="O19" s="32"/>
      <c r="P19" s="32" t="s">
        <v>94</v>
      </c>
      <c r="Q19" s="49" t="s">
        <v>95</v>
      </c>
      <c r="R19" s="3" t="str">
        <f t="shared" si="1"/>
        <v/>
      </c>
    </row>
    <row r="20" spans="1:18">
      <c r="A20" s="63"/>
      <c r="B20" s="7" t="s">
        <v>41</v>
      </c>
      <c r="C20" s="7" t="str">
        <f t="shared" ref="C20:C26" si="4">IF(C194="S","N","S")</f>
        <v>N</v>
      </c>
      <c r="D20" s="8">
        <v>2</v>
      </c>
      <c r="E20" s="43" t="s">
        <v>371</v>
      </c>
      <c r="F20" s="8" t="s">
        <v>14</v>
      </c>
      <c r="G20" s="8"/>
      <c r="H20" s="8" t="s">
        <v>437</v>
      </c>
      <c r="I20" s="8" t="s">
        <v>13</v>
      </c>
      <c r="J20" s="8">
        <v>3011</v>
      </c>
      <c r="K20" s="33" t="s">
        <v>437</v>
      </c>
      <c r="L20" s="33" t="str">
        <f t="shared" si="2"/>
        <v>172.29.9.67</v>
      </c>
      <c r="M20" s="33">
        <v>33011</v>
      </c>
      <c r="N20" s="33"/>
      <c r="O20" s="33"/>
      <c r="P20" s="33" t="s">
        <v>94</v>
      </c>
      <c r="Q20" s="34" t="s">
        <v>95</v>
      </c>
      <c r="R20" s="3" t="str">
        <f t="shared" si="1"/>
        <v/>
      </c>
    </row>
    <row r="21" spans="1:18">
      <c r="A21" s="63"/>
      <c r="B21" s="7" t="s">
        <v>44</v>
      </c>
      <c r="C21" s="7" t="str">
        <f t="shared" si="4"/>
        <v>N</v>
      </c>
      <c r="D21" s="8">
        <v>3</v>
      </c>
      <c r="E21" s="43" t="s">
        <v>372</v>
      </c>
      <c r="F21" s="8" t="s">
        <v>14</v>
      </c>
      <c r="G21" s="8"/>
      <c r="H21" s="8" t="s">
        <v>437</v>
      </c>
      <c r="I21" s="8" t="s">
        <v>57</v>
      </c>
      <c r="J21" s="8">
        <v>12606</v>
      </c>
      <c r="K21" s="33" t="s">
        <v>437</v>
      </c>
      <c r="L21" s="33" t="str">
        <f t="shared" ref="L21:L142" si="5">+$B$3</f>
        <v>172.29.9.67</v>
      </c>
      <c r="M21" s="33">
        <v>52606</v>
      </c>
      <c r="N21" s="33"/>
      <c r="O21" s="33"/>
      <c r="P21" s="33" t="s">
        <v>94</v>
      </c>
      <c r="Q21" s="34" t="s">
        <v>95</v>
      </c>
      <c r="R21" s="3" t="str">
        <f t="shared" si="1"/>
        <v/>
      </c>
    </row>
    <row r="22" spans="1:18">
      <c r="A22" s="63"/>
      <c r="B22" s="7" t="s">
        <v>45</v>
      </c>
      <c r="C22" s="7" t="str">
        <f t="shared" si="4"/>
        <v>N</v>
      </c>
      <c r="D22" s="8">
        <v>4</v>
      </c>
      <c r="E22" s="43" t="s">
        <v>373</v>
      </c>
      <c r="F22" s="8" t="s">
        <v>8</v>
      </c>
      <c r="G22" s="8" t="s">
        <v>57</v>
      </c>
      <c r="H22" s="8" t="s">
        <v>437</v>
      </c>
      <c r="I22" s="8"/>
      <c r="J22" s="8">
        <v>3111</v>
      </c>
      <c r="K22" s="33" t="s">
        <v>437</v>
      </c>
      <c r="L22" s="33" t="str">
        <f t="shared" si="5"/>
        <v>172.29.9.67</v>
      </c>
      <c r="M22" s="33">
        <v>53111</v>
      </c>
      <c r="N22" s="33"/>
      <c r="O22" s="33"/>
      <c r="P22" s="33" t="s">
        <v>94</v>
      </c>
      <c r="Q22" s="34" t="s">
        <v>95</v>
      </c>
      <c r="R22" s="3" t="str">
        <f t="shared" si="1"/>
        <v/>
      </c>
    </row>
    <row r="23" spans="1:18">
      <c r="A23" s="63"/>
      <c r="B23" s="7" t="s">
        <v>38</v>
      </c>
      <c r="C23" s="7" t="str">
        <f t="shared" si="4"/>
        <v>N</v>
      </c>
      <c r="D23" s="8">
        <v>5</v>
      </c>
      <c r="E23" s="8">
        <v>2296</v>
      </c>
      <c r="F23" s="8" t="s">
        <v>8</v>
      </c>
      <c r="G23" s="8" t="s">
        <v>13</v>
      </c>
      <c r="H23" s="8" t="s">
        <v>437</v>
      </c>
      <c r="I23" s="8"/>
      <c r="J23" s="8">
        <v>12605</v>
      </c>
      <c r="K23" s="33" t="s">
        <v>437</v>
      </c>
      <c r="L23" s="33" t="str">
        <f t="shared" si="5"/>
        <v>172.29.9.67</v>
      </c>
      <c r="M23" s="33">
        <v>32605</v>
      </c>
      <c r="N23" s="33"/>
      <c r="O23" s="33"/>
      <c r="P23" s="33" t="s">
        <v>94</v>
      </c>
      <c r="Q23" s="34" t="s">
        <v>95</v>
      </c>
      <c r="R23" s="3" t="str">
        <f t="shared" si="1"/>
        <v/>
      </c>
    </row>
    <row r="24" spans="1:18">
      <c r="A24" s="63"/>
      <c r="B24" s="7" t="s">
        <v>39</v>
      </c>
      <c r="C24" s="7" t="str">
        <f t="shared" si="4"/>
        <v>N</v>
      </c>
      <c r="D24" s="8">
        <v>6</v>
      </c>
      <c r="E24" s="43" t="s">
        <v>374</v>
      </c>
      <c r="F24" s="8" t="s">
        <v>14</v>
      </c>
      <c r="G24" s="8"/>
      <c r="H24" s="8" t="s">
        <v>437</v>
      </c>
      <c r="I24" s="8" t="s">
        <v>13</v>
      </c>
      <c r="J24" s="8">
        <v>4011</v>
      </c>
      <c r="K24" s="33" t="s">
        <v>437</v>
      </c>
      <c r="L24" s="33" t="str">
        <f t="shared" si="5"/>
        <v>172.29.9.67</v>
      </c>
      <c r="M24" s="33">
        <v>34011</v>
      </c>
      <c r="N24" s="33"/>
      <c r="O24" s="33"/>
      <c r="P24" s="33" t="s">
        <v>94</v>
      </c>
      <c r="Q24" s="34" t="s">
        <v>95</v>
      </c>
      <c r="R24" s="3" t="str">
        <f t="shared" si="1"/>
        <v/>
      </c>
    </row>
    <row r="25" spans="1:18">
      <c r="A25" s="63"/>
      <c r="B25" s="7" t="s">
        <v>42</v>
      </c>
      <c r="C25" s="7" t="str">
        <f t="shared" si="4"/>
        <v>N</v>
      </c>
      <c r="D25" s="8">
        <v>7</v>
      </c>
      <c r="E25" s="43" t="s">
        <v>376</v>
      </c>
      <c r="F25" s="8" t="s">
        <v>14</v>
      </c>
      <c r="G25" s="8"/>
      <c r="H25" s="8" t="s">
        <v>437</v>
      </c>
      <c r="I25" s="8" t="s">
        <v>57</v>
      </c>
      <c r="J25" s="8">
        <v>12605</v>
      </c>
      <c r="K25" s="33" t="s">
        <v>437</v>
      </c>
      <c r="L25" s="33" t="str">
        <f t="shared" si="5"/>
        <v>172.29.9.67</v>
      </c>
      <c r="M25" s="33">
        <v>52605</v>
      </c>
      <c r="N25" s="33"/>
      <c r="O25" s="33"/>
      <c r="P25" s="33" t="s">
        <v>94</v>
      </c>
      <c r="Q25" s="34" t="s">
        <v>95</v>
      </c>
      <c r="R25" s="3" t="str">
        <f t="shared" si="1"/>
        <v/>
      </c>
    </row>
    <row r="26" spans="1:18" ht="15" thickBot="1">
      <c r="A26" s="64"/>
      <c r="B26" s="16" t="s">
        <v>43</v>
      </c>
      <c r="C26" s="16" t="str">
        <f t="shared" si="4"/>
        <v>N</v>
      </c>
      <c r="D26" s="17">
        <v>8</v>
      </c>
      <c r="E26" s="44" t="s">
        <v>375</v>
      </c>
      <c r="F26" s="17" t="s">
        <v>8</v>
      </c>
      <c r="G26" s="17" t="s">
        <v>57</v>
      </c>
      <c r="H26" s="17" t="s">
        <v>437</v>
      </c>
      <c r="I26" s="17"/>
      <c r="J26" s="17">
        <v>4111</v>
      </c>
      <c r="K26" s="35" t="s">
        <v>437</v>
      </c>
      <c r="L26" s="35" t="str">
        <f t="shared" si="5"/>
        <v>172.29.9.67</v>
      </c>
      <c r="M26" s="35">
        <v>54111</v>
      </c>
      <c r="N26" s="35"/>
      <c r="O26" s="35"/>
      <c r="P26" s="35" t="s">
        <v>94</v>
      </c>
      <c r="Q26" s="36" t="s">
        <v>96</v>
      </c>
      <c r="R26" s="3" t="str">
        <f t="shared" si="1"/>
        <v/>
      </c>
    </row>
    <row r="27" spans="1:18">
      <c r="A27" s="92">
        <f>A19+1</f>
        <v>5</v>
      </c>
      <c r="B27" s="23" t="s">
        <v>129</v>
      </c>
      <c r="C27" s="23" t="s">
        <v>497</v>
      </c>
      <c r="D27" s="29">
        <v>1</v>
      </c>
      <c r="E27" s="93" t="s">
        <v>489</v>
      </c>
      <c r="F27" s="29" t="s">
        <v>8</v>
      </c>
      <c r="G27" s="29" t="s">
        <v>389</v>
      </c>
      <c r="H27" s="29" t="s">
        <v>437</v>
      </c>
      <c r="I27" s="29"/>
      <c r="J27" s="29">
        <v>2218</v>
      </c>
      <c r="K27" s="32" t="s">
        <v>437</v>
      </c>
      <c r="L27" s="32" t="str">
        <f t="shared" si="0"/>
        <v>172.29.9.67</v>
      </c>
      <c r="M27" s="32">
        <v>32218</v>
      </c>
      <c r="N27" s="32"/>
      <c r="O27" s="32"/>
      <c r="P27" s="32" t="s">
        <v>94</v>
      </c>
      <c r="Q27" s="49" t="s">
        <v>95</v>
      </c>
      <c r="R27" s="3" t="str">
        <f t="shared" si="1"/>
        <v>"5":{"rules":{"1":{"type":"con","dst_persist":"n","src":{"32218":{"raddr":"172.29.9.67:0","mhdr":"iBHb2","name":"NODO-01"}},"dst":{"mode":"server","raddr":"172.26.38.18:0","lport":"2218 iBHb2","name":"Red ATM CBCO in 1"},"plugin": {"file":"slb_plugin_rm_biciso.so","type":"RM","args": {"nodrop":"n"}}},</v>
      </c>
    </row>
    <row r="28" spans="1:18" ht="15" thickBot="1">
      <c r="A28" s="64"/>
      <c r="B28" s="16" t="s">
        <v>130</v>
      </c>
      <c r="C28" s="16" t="s">
        <v>497</v>
      </c>
      <c r="D28" s="17">
        <v>2</v>
      </c>
      <c r="E28" s="44" t="s">
        <v>490</v>
      </c>
      <c r="F28" s="17" t="s">
        <v>8</v>
      </c>
      <c r="G28" s="17" t="s">
        <v>389</v>
      </c>
      <c r="H28" s="17" t="s">
        <v>437</v>
      </c>
      <c r="I28" s="17"/>
      <c r="J28" s="17">
        <v>3218</v>
      </c>
      <c r="K28" s="35" t="s">
        <v>437</v>
      </c>
      <c r="L28" s="35" t="str">
        <f t="shared" si="0"/>
        <v>172.29.9.67</v>
      </c>
      <c r="M28" s="35">
        <v>33218</v>
      </c>
      <c r="N28" s="35"/>
      <c r="O28" s="35"/>
      <c r="P28" s="35" t="s">
        <v>94</v>
      </c>
      <c r="Q28" s="36" t="s">
        <v>96</v>
      </c>
      <c r="R28" s="3" t="str">
        <f t="shared" si="1"/>
        <v>"2":{"type":"con","dst_persist":"n","src":{"33218":{"raddr":"172.29.9.67:0","mhdr":"iBHb2","name":"NODO-01"}},"dst":{"mode":"server","raddr":"172.26.38.18:0","lport":"3218 iBHb2","name":"Red ATM CBCO in 2"},"plugin": {"file":"slb_plugin_rm_biciso.so","type":"RM","args": {"nodrop":"n"}}}}},</v>
      </c>
    </row>
    <row r="29" spans="1:18" ht="15" thickBot="1">
      <c r="A29" s="9">
        <f>A27+1</f>
        <v>6</v>
      </c>
      <c r="B29" s="10" t="s">
        <v>384</v>
      </c>
      <c r="C29" s="10" t="s">
        <v>497</v>
      </c>
      <c r="D29" s="11">
        <v>1</v>
      </c>
      <c r="E29" s="11">
        <v>11609</v>
      </c>
      <c r="F29" s="11" t="s">
        <v>8</v>
      </c>
      <c r="G29" s="29" t="s">
        <v>208</v>
      </c>
      <c r="H29" s="11" t="s">
        <v>437</v>
      </c>
      <c r="I29" s="11"/>
      <c r="J29" s="11">
        <v>2901</v>
      </c>
      <c r="K29" s="32" t="s">
        <v>437</v>
      </c>
      <c r="L29" s="32" t="str">
        <f t="shared" ref="L29:L112" si="6">+$B$3</f>
        <v>172.29.9.67</v>
      </c>
      <c r="M29" s="32">
        <v>32901</v>
      </c>
      <c r="N29" s="32"/>
      <c r="O29" s="32"/>
      <c r="P29" s="32" t="s">
        <v>94</v>
      </c>
      <c r="Q29" s="49" t="s">
        <v>95</v>
      </c>
      <c r="R29" s="3" t="str">
        <f t="shared" si="1"/>
        <v>"6":{"rules":{"1":{"type":"con","dst_persist":"n","src":{"32901":{"raddr":"172.29.9.67:0","mhdr":"iBHb2","name":"NODO-01"}},"dst":{"mode":"server","raddr":"0.0.0.0:0","lport":"2901 iBHb2","name":"BANCO BOGOTA DB"},"plugin": {"file":"slb_plugin_rm_biciso.so","type":"RM","args": {"nodrop":"n"}}},</v>
      </c>
    </row>
    <row r="30" spans="1:18" ht="15" thickBot="1">
      <c r="A30" s="12"/>
      <c r="B30" s="2" t="s">
        <v>384</v>
      </c>
      <c r="C30" s="2" t="s">
        <v>497</v>
      </c>
      <c r="D30" s="6">
        <v>2</v>
      </c>
      <c r="E30" s="6">
        <v>11610</v>
      </c>
      <c r="F30" s="6" t="s">
        <v>8</v>
      </c>
      <c r="G30" s="29" t="s">
        <v>208</v>
      </c>
      <c r="H30" s="6" t="s">
        <v>437</v>
      </c>
      <c r="I30" s="6"/>
      <c r="J30" s="6">
        <v>2201</v>
      </c>
      <c r="K30" s="33" t="s">
        <v>437</v>
      </c>
      <c r="L30" s="33" t="str">
        <f t="shared" si="6"/>
        <v>172.29.9.67</v>
      </c>
      <c r="M30" s="33">
        <v>32201</v>
      </c>
      <c r="N30" s="33"/>
      <c r="O30" s="33"/>
      <c r="P30" s="33" t="s">
        <v>94</v>
      </c>
      <c r="Q30" s="34" t="s">
        <v>95</v>
      </c>
      <c r="R30" s="3" t="str">
        <f t="shared" si="1"/>
        <v>"2":{"type":"con","dst_persist":"n","src":{"32201":{"raddr":"172.29.9.67:0","mhdr":"iBHb2","name":"NODO-01"}},"dst":{"mode":"server","raddr":"0.0.0.0:0","lport":"2201 iBHb2","name":"BANCO BOGOTA DB"},"plugin": {"file":"slb_plugin_rm_biciso.so","type":"RM","args": {"nodrop":"n"}}},</v>
      </c>
    </row>
    <row r="31" spans="1:18" ht="15" thickBot="1">
      <c r="A31" s="12"/>
      <c r="B31" s="2" t="s">
        <v>384</v>
      </c>
      <c r="C31" s="2" t="s">
        <v>497</v>
      </c>
      <c r="D31" s="6">
        <v>3</v>
      </c>
      <c r="E31" s="6">
        <v>11613</v>
      </c>
      <c r="F31" s="6" t="s">
        <v>8</v>
      </c>
      <c r="G31" s="29" t="s">
        <v>208</v>
      </c>
      <c r="H31" s="6" t="s">
        <v>437</v>
      </c>
      <c r="I31" s="6"/>
      <c r="J31" s="6">
        <v>5901</v>
      </c>
      <c r="K31" s="33" t="s">
        <v>437</v>
      </c>
      <c r="L31" s="33" t="str">
        <f t="shared" si="6"/>
        <v>172.29.9.67</v>
      </c>
      <c r="M31" s="33">
        <v>35901</v>
      </c>
      <c r="N31" s="33"/>
      <c r="O31" s="33"/>
      <c r="P31" s="33" t="s">
        <v>94</v>
      </c>
      <c r="Q31" s="34" t="s">
        <v>95</v>
      </c>
      <c r="R31" s="3" t="str">
        <f t="shared" si="1"/>
        <v>"3":{"type":"con","dst_persist":"n","src":{"35901":{"raddr":"172.29.9.67:0","mhdr":"iBHb2","name":"NODO-01"}},"dst":{"mode":"server","raddr":"0.0.0.0:0","lport":"5901 iBHb2","name":"BANCO BOGOTA DB"},"plugin": {"file":"slb_plugin_rm_biciso.so","type":"RM","args": {"nodrop":"n"}}},</v>
      </c>
    </row>
    <row r="32" spans="1:18" ht="15" thickBot="1">
      <c r="A32" s="12"/>
      <c r="B32" s="2" t="s">
        <v>384</v>
      </c>
      <c r="C32" s="2" t="s">
        <v>497</v>
      </c>
      <c r="D32" s="6">
        <v>4</v>
      </c>
      <c r="E32" s="6">
        <v>11614</v>
      </c>
      <c r="F32" s="6" t="s">
        <v>8</v>
      </c>
      <c r="G32" s="29" t="s">
        <v>208</v>
      </c>
      <c r="H32" s="6" t="s">
        <v>437</v>
      </c>
      <c r="I32" s="6"/>
      <c r="J32" s="6">
        <v>5201</v>
      </c>
      <c r="K32" s="33" t="s">
        <v>437</v>
      </c>
      <c r="L32" s="33" t="str">
        <f t="shared" si="6"/>
        <v>172.29.9.67</v>
      </c>
      <c r="M32" s="33">
        <v>35201</v>
      </c>
      <c r="N32" s="33"/>
      <c r="O32" s="33"/>
      <c r="P32" s="33" t="s">
        <v>94</v>
      </c>
      <c r="Q32" s="34" t="s">
        <v>95</v>
      </c>
      <c r="R32" s="3" t="str">
        <f t="shared" si="1"/>
        <v>"4":{"type":"con","dst_persist":"n","src":{"35201":{"raddr":"172.29.9.67:0","mhdr":"iBHb2","name":"NODO-01"}},"dst":{"mode":"server","raddr":"0.0.0.0:0","lport":"5201 iBHb2","name":"BANCO BOGOTA DB"},"plugin": {"file":"slb_plugin_rm_biciso.so","type":"RM","args": {"nodrop":"n"}}},</v>
      </c>
    </row>
    <row r="33" spans="1:18" ht="15" thickBot="1">
      <c r="A33" s="12"/>
      <c r="B33" s="2" t="s">
        <v>384</v>
      </c>
      <c r="C33" s="2" t="s">
        <v>497</v>
      </c>
      <c r="D33" s="6">
        <v>5</v>
      </c>
      <c r="E33" s="6">
        <v>11617</v>
      </c>
      <c r="F33" s="6" t="s">
        <v>8</v>
      </c>
      <c r="G33" s="29" t="s">
        <v>208</v>
      </c>
      <c r="H33" s="6" t="s">
        <v>437</v>
      </c>
      <c r="I33" s="6"/>
      <c r="J33" s="6">
        <v>6901</v>
      </c>
      <c r="K33" s="33" t="s">
        <v>437</v>
      </c>
      <c r="L33" s="33" t="str">
        <f t="shared" si="6"/>
        <v>172.29.9.67</v>
      </c>
      <c r="M33" s="33">
        <v>36901</v>
      </c>
      <c r="N33" s="33"/>
      <c r="O33" s="33"/>
      <c r="P33" s="33" t="s">
        <v>94</v>
      </c>
      <c r="Q33" s="34" t="s">
        <v>95</v>
      </c>
      <c r="R33" s="3" t="str">
        <f t="shared" si="1"/>
        <v>"5":{"type":"con","dst_persist":"n","src":{"36901":{"raddr":"172.29.9.67:0","mhdr":"iBHb2","name":"NODO-01"}},"dst":{"mode":"server","raddr":"0.0.0.0:0","lport":"6901 iBHb2","name":"BANCO BOGOTA DB"},"plugin": {"file":"slb_plugin_rm_biciso.so","type":"RM","args": {"nodrop":"n"}}},</v>
      </c>
    </row>
    <row r="34" spans="1:18" ht="15" thickBot="1">
      <c r="A34" s="13"/>
      <c r="B34" s="14" t="s">
        <v>384</v>
      </c>
      <c r="C34" s="14" t="s">
        <v>497</v>
      </c>
      <c r="D34" s="15">
        <v>6</v>
      </c>
      <c r="E34" s="15">
        <v>11618</v>
      </c>
      <c r="F34" s="15" t="s">
        <v>8</v>
      </c>
      <c r="G34" s="29" t="s">
        <v>208</v>
      </c>
      <c r="H34" s="15" t="s">
        <v>437</v>
      </c>
      <c r="I34" s="15"/>
      <c r="J34" s="15">
        <v>6201</v>
      </c>
      <c r="K34" s="35" t="s">
        <v>437</v>
      </c>
      <c r="L34" s="35" t="str">
        <f t="shared" si="6"/>
        <v>172.29.9.67</v>
      </c>
      <c r="M34" s="35">
        <v>36201</v>
      </c>
      <c r="N34" s="35"/>
      <c r="O34" s="35"/>
      <c r="P34" s="35" t="s">
        <v>94</v>
      </c>
      <c r="Q34" s="36" t="s">
        <v>96</v>
      </c>
      <c r="R34" s="3" t="str">
        <f t="shared" si="1"/>
        <v>"6":{"type":"con","dst_persist":"n","src":{"36201":{"raddr":"172.29.9.67:0","mhdr":"iBHb2","name":"NODO-01"}},"dst":{"mode":"server","raddr":"0.0.0.0:0","lport":"6201 iBHb2","name":"BANCO BOGOTA DB"},"plugin": {"file":"slb_plugin_rm_biciso.so","type":"RM","args": {"nodrop":"n"}}}}},</v>
      </c>
    </row>
    <row r="35" spans="1:18">
      <c r="A35" s="47">
        <f>A29+1</f>
        <v>7</v>
      </c>
      <c r="B35" s="10" t="s">
        <v>385</v>
      </c>
      <c r="C35" s="10" t="s">
        <v>497</v>
      </c>
      <c r="D35" s="11">
        <v>1</v>
      </c>
      <c r="E35" s="11">
        <v>11621</v>
      </c>
      <c r="F35" s="11" t="s">
        <v>8</v>
      </c>
      <c r="G35" s="29" t="s">
        <v>208</v>
      </c>
      <c r="H35" s="11" t="s">
        <v>55</v>
      </c>
      <c r="I35" s="11"/>
      <c r="J35" s="11">
        <v>3001</v>
      </c>
      <c r="K35" s="32" t="s">
        <v>55</v>
      </c>
      <c r="L35" s="32" t="str">
        <f t="shared" si="6"/>
        <v>172.29.9.67</v>
      </c>
      <c r="M35" s="32">
        <v>33001</v>
      </c>
      <c r="N35" s="32"/>
      <c r="O35" s="32"/>
      <c r="P35" s="32" t="s">
        <v>94</v>
      </c>
      <c r="Q35" s="49" t="s">
        <v>95</v>
      </c>
      <c r="R35" s="3" t="str">
        <f t="shared" si="1"/>
        <v>"7":{"rules":{"1":{"type":"con","dst_persist":"n","src":{"33001":{"raddr":"172.29.9.67:0","mhdr":"BHb2","name":"NODO-01"}},"dst":{"mode":"server","raddr":"0.0.0.0:0","lport":"3001 BHb2","name":"BANCO MEGABANCO"},"plugin": {"file":"slb_plugin_rm_biciso.so","type":"RM","args": {"nodrop":"n"}}},</v>
      </c>
    </row>
    <row r="36" spans="1:18">
      <c r="A36" s="12"/>
      <c r="B36" s="2" t="s">
        <v>383</v>
      </c>
      <c r="C36" s="2" t="s">
        <v>497</v>
      </c>
      <c r="D36" s="6">
        <v>2</v>
      </c>
      <c r="E36" s="6">
        <v>11601</v>
      </c>
      <c r="F36" s="6" t="s">
        <v>8</v>
      </c>
      <c r="G36" s="6" t="s">
        <v>217</v>
      </c>
      <c r="H36" s="6" t="s">
        <v>437</v>
      </c>
      <c r="I36" s="6"/>
      <c r="J36" s="6">
        <v>2701</v>
      </c>
      <c r="K36" s="33" t="s">
        <v>437</v>
      </c>
      <c r="L36" s="33" t="str">
        <f t="shared" si="6"/>
        <v>172.29.9.67</v>
      </c>
      <c r="M36" s="33">
        <v>32701</v>
      </c>
      <c r="N36" s="33"/>
      <c r="O36" s="33"/>
      <c r="P36" s="33" t="s">
        <v>94</v>
      </c>
      <c r="Q36" s="34" t="s">
        <v>95</v>
      </c>
      <c r="R36" s="3" t="str">
        <f t="shared" si="1"/>
        <v>"2":{"type":"con","dst_persist":"n","src":{"32701":{"raddr":"172.29.9.67:0","mhdr":"iBHb2","name":"NODO-01"}},"dst":{"mode":"server","raddr":"172.16.27.50:0","lport":"2701 iBHb2","name":"BANCO BOGOTA CR Fiserv"},"plugin": {"file":"slb_plugin_rm_biciso.so","type":"RM","args": {"nodrop":"n"}}},</v>
      </c>
    </row>
    <row r="37" spans="1:18" ht="15" thickBot="1">
      <c r="A37" s="12"/>
      <c r="B37" s="2" t="s">
        <v>383</v>
      </c>
      <c r="C37" s="2" t="s">
        <v>497</v>
      </c>
      <c r="D37" s="6">
        <v>3</v>
      </c>
      <c r="E37" s="6">
        <v>11602</v>
      </c>
      <c r="F37" s="6" t="s">
        <v>8</v>
      </c>
      <c r="G37" s="6" t="s">
        <v>217</v>
      </c>
      <c r="H37" s="6" t="s">
        <v>437</v>
      </c>
      <c r="I37" s="6"/>
      <c r="J37" s="6">
        <v>3701</v>
      </c>
      <c r="K37" s="33" t="s">
        <v>437</v>
      </c>
      <c r="L37" s="33" t="str">
        <f t="shared" si="6"/>
        <v>172.29.9.67</v>
      </c>
      <c r="M37" s="33">
        <v>33701</v>
      </c>
      <c r="N37" s="33"/>
      <c r="O37" s="33"/>
      <c r="P37" s="33" t="s">
        <v>94</v>
      </c>
      <c r="Q37" s="34" t="s">
        <v>95</v>
      </c>
      <c r="R37" s="3" t="str">
        <f t="shared" si="1"/>
        <v>"3":{"type":"con","dst_persist":"n","src":{"33701":{"raddr":"172.29.9.67:0","mhdr":"iBHb2","name":"NODO-01"}},"dst":{"mode":"server","raddr":"172.16.27.50:0","lport":"3701 iBHb2","name":"BANCO BOGOTA CR Fiserv"},"plugin": {"file":"slb_plugin_rm_biciso.so","type":"RM","args": {"nodrop":"n"}}},</v>
      </c>
    </row>
    <row r="38" spans="1:18" ht="15" thickBot="1">
      <c r="A38" s="12"/>
      <c r="B38" s="2" t="s">
        <v>386</v>
      </c>
      <c r="C38" s="2" t="s">
        <v>497</v>
      </c>
      <c r="D38" s="6">
        <v>4</v>
      </c>
      <c r="E38" s="6">
        <v>11623</v>
      </c>
      <c r="F38" s="6" t="s">
        <v>8</v>
      </c>
      <c r="G38" s="29" t="s">
        <v>208</v>
      </c>
      <c r="H38" s="6" t="s">
        <v>437</v>
      </c>
      <c r="I38" s="6"/>
      <c r="J38" s="6">
        <v>2001</v>
      </c>
      <c r="K38" s="33" t="s">
        <v>437</v>
      </c>
      <c r="L38" s="33" t="str">
        <f t="shared" si="6"/>
        <v>172.29.9.67</v>
      </c>
      <c r="M38" s="33">
        <v>32001</v>
      </c>
      <c r="N38" s="33"/>
      <c r="O38" s="33"/>
      <c r="P38" s="33" t="s">
        <v>94</v>
      </c>
      <c r="Q38" s="34" t="s">
        <v>95</v>
      </c>
      <c r="R38" s="3" t="str">
        <f t="shared" si="1"/>
        <v>"4":{"type":"con","dst_persist":"n","src":{"32001":{"raddr":"172.29.9.67:0","mhdr":"iBHb2","name":"NODO-01"}},"dst":{"mode":"server","raddr":"0.0.0.0:0","lport":"2001 iBHb2","name":"BANCO BOGOTA CR"},"plugin": {"file":"slb_plugin_rm_biciso.so","type":"RM","args": {"nodrop":"n"}}},</v>
      </c>
    </row>
    <row r="39" spans="1:18" ht="15" thickBot="1">
      <c r="A39" s="12"/>
      <c r="B39" s="2" t="s">
        <v>386</v>
      </c>
      <c r="C39" s="2" t="s">
        <v>497</v>
      </c>
      <c r="D39" s="6">
        <v>5</v>
      </c>
      <c r="E39" s="6">
        <v>11624</v>
      </c>
      <c r="F39" s="6" t="s">
        <v>8</v>
      </c>
      <c r="G39" s="29" t="s">
        <v>208</v>
      </c>
      <c r="H39" s="6" t="s">
        <v>437</v>
      </c>
      <c r="I39" s="6"/>
      <c r="J39" s="6">
        <v>2301</v>
      </c>
      <c r="K39" s="33" t="s">
        <v>437</v>
      </c>
      <c r="L39" s="33" t="str">
        <f t="shared" si="6"/>
        <v>172.29.9.67</v>
      </c>
      <c r="M39" s="33">
        <v>32301</v>
      </c>
      <c r="N39" s="33"/>
      <c r="O39" s="33"/>
      <c r="P39" s="33" t="s">
        <v>94</v>
      </c>
      <c r="Q39" s="34" t="s">
        <v>95</v>
      </c>
      <c r="R39" s="3" t="str">
        <f t="shared" si="1"/>
        <v>"5":{"type":"con","dst_persist":"n","src":{"32301":{"raddr":"172.29.9.67:0","mhdr":"iBHb2","name":"NODO-01"}},"dst":{"mode":"server","raddr":"0.0.0.0:0","lport":"2301 iBHb2","name":"BANCO BOGOTA CR"},"plugin": {"file":"slb_plugin_rm_biciso.so","type":"RM","args": {"nodrop":"n"}}},</v>
      </c>
    </row>
    <row r="40" spans="1:18" ht="15" thickBot="1">
      <c r="A40" s="12"/>
      <c r="B40" s="2" t="s">
        <v>387</v>
      </c>
      <c r="C40" s="2" t="s">
        <v>497</v>
      </c>
      <c r="D40" s="6">
        <v>6</v>
      </c>
      <c r="E40" s="6">
        <v>11625</v>
      </c>
      <c r="F40" s="6" t="s">
        <v>8</v>
      </c>
      <c r="G40" s="29" t="s">
        <v>208</v>
      </c>
      <c r="H40" s="6" t="s">
        <v>437</v>
      </c>
      <c r="I40" s="6"/>
      <c r="J40" s="6">
        <v>3901</v>
      </c>
      <c r="K40" s="33" t="s">
        <v>437</v>
      </c>
      <c r="L40" s="33" t="str">
        <f t="shared" si="6"/>
        <v>172.29.9.67</v>
      </c>
      <c r="M40" s="33">
        <v>33901</v>
      </c>
      <c r="N40" s="33"/>
      <c r="O40" s="33"/>
      <c r="P40" s="33" t="s">
        <v>94</v>
      </c>
      <c r="Q40" s="34" t="s">
        <v>95</v>
      </c>
      <c r="R40" s="3" t="str">
        <f t="shared" si="1"/>
        <v>"6":{"type":"con","dst_persist":"n","src":{"33901":{"raddr":"172.29.9.67:0","mhdr":"iBHb2","name":"NODO-01"}},"dst":{"mode":"server","raddr":"0.0.0.0:0","lport":"3901 iBHb2","name":"ELECTRON MEGABANCO"},"plugin": {"file":"slb_plugin_rm_biciso.so","type":"RM","args": {"nodrop":"n"}}},</v>
      </c>
    </row>
    <row r="41" spans="1:18" ht="15" thickBot="1">
      <c r="A41" s="30"/>
      <c r="B41" s="2" t="s">
        <v>388</v>
      </c>
      <c r="C41" s="2" t="s">
        <v>497</v>
      </c>
      <c r="D41" s="6">
        <v>7</v>
      </c>
      <c r="E41" s="6">
        <v>11627</v>
      </c>
      <c r="F41" s="6" t="s">
        <v>8</v>
      </c>
      <c r="G41" s="29" t="s">
        <v>208</v>
      </c>
      <c r="H41" s="6" t="s">
        <v>437</v>
      </c>
      <c r="I41" s="6"/>
      <c r="J41" s="6">
        <v>1960</v>
      </c>
      <c r="K41" s="33" t="s">
        <v>437</v>
      </c>
      <c r="L41" s="33" t="str">
        <f t="shared" si="6"/>
        <v>172.29.9.67</v>
      </c>
      <c r="M41" s="33">
        <v>31960</v>
      </c>
      <c r="N41" s="33"/>
      <c r="O41" s="33"/>
      <c r="P41" s="33" t="s">
        <v>94</v>
      </c>
      <c r="Q41" s="34" t="s">
        <v>95</v>
      </c>
      <c r="R41" s="3" t="str">
        <f t="shared" si="1"/>
        <v>"7":{"type":"con","dst_persist":"n","src":{"31960":{"raddr":"172.29.9.67:0","mhdr":"iBHb2","name":"NODO-01"}},"dst":{"mode":"server","raddr":"0.0.0.0:0","lport":"1960 iBHb2","name":"BANCO BOGOTA MEGABANCO"},"plugin": {"file":"slb_plugin_rm_biciso.so","type":"RM","args": {"nodrop":"n"}}},</v>
      </c>
    </row>
    <row r="42" spans="1:18" ht="15" thickBot="1">
      <c r="A42" s="40"/>
      <c r="B42" s="14" t="s">
        <v>388</v>
      </c>
      <c r="C42" s="14" t="s">
        <v>497</v>
      </c>
      <c r="D42" s="15">
        <v>8</v>
      </c>
      <c r="E42" s="15">
        <v>11628</v>
      </c>
      <c r="F42" s="15" t="s">
        <v>8</v>
      </c>
      <c r="G42" s="29" t="s">
        <v>208</v>
      </c>
      <c r="H42" s="15" t="s">
        <v>437</v>
      </c>
      <c r="I42" s="15"/>
      <c r="J42" s="15">
        <v>9600</v>
      </c>
      <c r="K42" s="35" t="s">
        <v>437</v>
      </c>
      <c r="L42" s="35" t="str">
        <f t="shared" si="6"/>
        <v>172.29.9.67</v>
      </c>
      <c r="M42" s="35">
        <v>39600</v>
      </c>
      <c r="N42" s="35"/>
      <c r="O42" s="35"/>
      <c r="P42" s="35" t="s">
        <v>94</v>
      </c>
      <c r="Q42" s="36" t="s">
        <v>96</v>
      </c>
      <c r="R42" s="3" t="str">
        <f t="shared" si="1"/>
        <v>"8":{"type":"con","dst_persist":"n","src":{"39600":{"raddr":"172.29.9.67:0","mhdr":"iBHb2","name":"NODO-01"}},"dst":{"mode":"server","raddr":"0.0.0.0:0","lport":"9600 iBHb2","name":"BANCO BOGOTA MEGABANCO"},"plugin": {"file":"slb_plugin_rm_biciso.so","type":"RM","args": {"nodrop":"n"}}}}},</v>
      </c>
    </row>
    <row r="43" spans="1:18">
      <c r="A43" s="47">
        <f>A35+1</f>
        <v>8</v>
      </c>
      <c r="B43" s="23" t="s">
        <v>467</v>
      </c>
      <c r="C43" s="23" t="s">
        <v>497</v>
      </c>
      <c r="D43" s="29">
        <v>1</v>
      </c>
      <c r="E43" s="93" t="s">
        <v>465</v>
      </c>
      <c r="F43" s="29" t="s">
        <v>8</v>
      </c>
      <c r="G43" s="29" t="s">
        <v>208</v>
      </c>
      <c r="H43" s="29" t="s">
        <v>437</v>
      </c>
      <c r="I43" s="29"/>
      <c r="J43" s="29">
        <v>4112</v>
      </c>
      <c r="K43" s="32" t="s">
        <v>437</v>
      </c>
      <c r="L43" s="32" t="str">
        <f t="shared" si="6"/>
        <v>172.29.9.67</v>
      </c>
      <c r="M43" s="32">
        <v>34112</v>
      </c>
      <c r="N43" s="32"/>
      <c r="O43" s="32"/>
      <c r="P43" s="32" t="s">
        <v>94</v>
      </c>
      <c r="Q43" s="49" t="s">
        <v>95</v>
      </c>
      <c r="R43" s="3" t="str">
        <f t="shared" si="1"/>
        <v>"8":{"rules":{"1":{"type":"con","dst_persist":"n","src":{"34112":{"raddr":"172.29.9.67:0","mhdr":"iBHb2","name":"NODO-01"}},"dst":{"mode":"server","raddr":"0.0.0.0:0","lport":"4112 iBHb2","name":"Suda CR Sig TEST 1"},"plugin": {"file":"slb_plugin_rm_biciso.so","type":"RM","args": {"nodrop":"n"}}},</v>
      </c>
    </row>
    <row r="44" spans="1:18">
      <c r="A44" s="30"/>
      <c r="B44" s="7" t="s">
        <v>468</v>
      </c>
      <c r="C44" s="7" t="s">
        <v>497</v>
      </c>
      <c r="D44" s="8">
        <v>2</v>
      </c>
      <c r="E44" s="43" t="s">
        <v>466</v>
      </c>
      <c r="F44" s="8" t="s">
        <v>8</v>
      </c>
      <c r="G44" s="8" t="s">
        <v>208</v>
      </c>
      <c r="H44" s="8" t="s">
        <v>437</v>
      </c>
      <c r="I44" s="8"/>
      <c r="J44" s="8">
        <v>4212</v>
      </c>
      <c r="K44" s="33" t="s">
        <v>437</v>
      </c>
      <c r="L44" s="33" t="str">
        <f t="shared" si="6"/>
        <v>172.29.9.67</v>
      </c>
      <c r="M44" s="33">
        <v>34212</v>
      </c>
      <c r="N44" s="33"/>
      <c r="O44" s="33"/>
      <c r="P44" s="33" t="s">
        <v>94</v>
      </c>
      <c r="Q44" s="34" t="s">
        <v>95</v>
      </c>
      <c r="R44" s="3" t="str">
        <f t="shared" si="1"/>
        <v>"2":{"type":"con","dst_persist":"n","src":{"34212":{"raddr":"172.29.9.67:0","mhdr":"iBHb2","name":"NODO-01"}},"dst":{"mode":"server","raddr":"0.0.0.0:0","lport":"4212 iBHb2","name":"Suda CR Sig TEST 2"},"plugin": {"file":"slb_plugin_rm_biciso.so","type":"RM","args": {"nodrop":"n"}}},</v>
      </c>
    </row>
    <row r="45" spans="1:18">
      <c r="A45" s="30"/>
      <c r="B45" s="7" t="s">
        <v>469</v>
      </c>
      <c r="C45" s="7" t="s">
        <v>497</v>
      </c>
      <c r="D45" s="8">
        <v>3</v>
      </c>
      <c r="E45" s="43">
        <v>11771</v>
      </c>
      <c r="F45" s="8" t="s">
        <v>8</v>
      </c>
      <c r="G45" s="8" t="s">
        <v>208</v>
      </c>
      <c r="H45" s="8" t="s">
        <v>437</v>
      </c>
      <c r="I45" s="8"/>
      <c r="J45" s="8">
        <v>2212</v>
      </c>
      <c r="K45" s="33" t="s">
        <v>437</v>
      </c>
      <c r="L45" s="33" t="str">
        <f t="shared" si="6"/>
        <v>172.29.9.67</v>
      </c>
      <c r="M45" s="33">
        <v>32212</v>
      </c>
      <c r="N45" s="33"/>
      <c r="O45" s="33"/>
      <c r="P45" s="33" t="s">
        <v>94</v>
      </c>
      <c r="Q45" s="34" t="s">
        <v>95</v>
      </c>
      <c r="R45" s="3" t="str">
        <f t="shared" si="1"/>
        <v>"3":{"type":"con","dst_persist":"n","src":{"32212":{"raddr":"172.29.9.67:0","mhdr":"iBHb2","name":"NODO-01"}},"dst":{"mode":"server","raddr":"0.0.0.0:0","lport":"2212 iBHb2","name":"Suda CR (0112) TEST 1"},"plugin": {"file":"slb_plugin_rm_biciso.so","type":"RM","args": {"nodrop":"n"}}},</v>
      </c>
    </row>
    <row r="46" spans="1:18">
      <c r="A46" s="30"/>
      <c r="B46" s="7" t="s">
        <v>470</v>
      </c>
      <c r="C46" s="7" t="s">
        <v>497</v>
      </c>
      <c r="D46" s="8">
        <v>4</v>
      </c>
      <c r="E46" s="43">
        <v>11772</v>
      </c>
      <c r="F46" s="8" t="s">
        <v>8</v>
      </c>
      <c r="G46" s="8" t="s">
        <v>208</v>
      </c>
      <c r="H46" s="8" t="s">
        <v>437</v>
      </c>
      <c r="I46" s="8"/>
      <c r="J46" s="8">
        <v>2312</v>
      </c>
      <c r="K46" s="33" t="s">
        <v>437</v>
      </c>
      <c r="L46" s="33" t="str">
        <f t="shared" si="6"/>
        <v>172.29.9.67</v>
      </c>
      <c r="M46" s="33">
        <v>32312</v>
      </c>
      <c r="N46" s="33"/>
      <c r="O46" s="33"/>
      <c r="P46" s="33" t="s">
        <v>94</v>
      </c>
      <c r="Q46" s="34" t="s">
        <v>95</v>
      </c>
      <c r="R46" s="3" t="str">
        <f t="shared" si="1"/>
        <v>"4":{"type":"con","dst_persist":"n","src":{"32312":{"raddr":"172.29.9.67:0","mhdr":"iBHb2","name":"NODO-01"}},"dst":{"mode":"server","raddr":"0.0.0.0:0","lport":"2312 iBHb2","name":"Suda CR (0112) TEST 2"},"plugin": {"file":"slb_plugin_rm_biciso.so","type":"RM","args": {"nodrop":"n"}}},</v>
      </c>
    </row>
    <row r="47" spans="1:18">
      <c r="A47" s="30"/>
      <c r="B47" s="7" t="s">
        <v>471</v>
      </c>
      <c r="C47" s="7" t="s">
        <v>497</v>
      </c>
      <c r="D47" s="8">
        <v>5</v>
      </c>
      <c r="E47" s="43">
        <v>11781</v>
      </c>
      <c r="F47" s="8" t="s">
        <v>8</v>
      </c>
      <c r="G47" s="8" t="s">
        <v>208</v>
      </c>
      <c r="H47" s="8" t="s">
        <v>437</v>
      </c>
      <c r="I47" s="8"/>
      <c r="J47" s="8">
        <v>4012</v>
      </c>
      <c r="K47" s="33" t="s">
        <v>437</v>
      </c>
      <c r="L47" s="33" t="str">
        <f t="shared" si="6"/>
        <v>172.29.9.67</v>
      </c>
      <c r="M47" s="33">
        <v>34012</v>
      </c>
      <c r="N47" s="33"/>
      <c r="O47" s="33"/>
      <c r="P47" s="33" t="s">
        <v>94</v>
      </c>
      <c r="Q47" s="34" t="s">
        <v>95</v>
      </c>
      <c r="R47" s="3" t="str">
        <f t="shared" si="1"/>
        <v>"5":{"type":"con","dst_persist":"n","src":{"34012":{"raddr":"172.29.9.67:0","mhdr":"iBHb2","name":"NODO-01"}},"dst":{"mode":"server","raddr":"0.0.0.0:0","lport":"4012 iBHb2","name":"Suda Cavipetro TEST 1"},"plugin": {"file":"slb_plugin_rm_biciso.so","type":"RM","args": {"nodrop":"n"}}},</v>
      </c>
    </row>
    <row r="48" spans="1:18">
      <c r="A48" s="30"/>
      <c r="B48" s="7" t="s">
        <v>472</v>
      </c>
      <c r="C48" s="7" t="s">
        <v>497</v>
      </c>
      <c r="D48" s="8">
        <v>6</v>
      </c>
      <c r="E48" s="43">
        <v>11782</v>
      </c>
      <c r="F48" s="8" t="s">
        <v>8</v>
      </c>
      <c r="G48" s="8" t="s">
        <v>208</v>
      </c>
      <c r="H48" s="8" t="s">
        <v>437</v>
      </c>
      <c r="I48" s="8"/>
      <c r="J48" s="8">
        <v>5012</v>
      </c>
      <c r="K48" s="33" t="s">
        <v>437</v>
      </c>
      <c r="L48" s="33" t="str">
        <f t="shared" si="6"/>
        <v>172.29.9.67</v>
      </c>
      <c r="M48" s="33">
        <v>35012</v>
      </c>
      <c r="N48" s="33"/>
      <c r="O48" s="33"/>
      <c r="P48" s="33" t="s">
        <v>94</v>
      </c>
      <c r="Q48" s="34" t="s">
        <v>95</v>
      </c>
      <c r="R48" s="3" t="str">
        <f t="shared" si="1"/>
        <v>"6":{"type":"con","dst_persist":"n","src":{"35012":{"raddr":"172.29.9.67:0","mhdr":"iBHb2","name":"NODO-01"}},"dst":{"mode":"server","raddr":"0.0.0.0:0","lport":"5012 iBHb2","name":"Suda Cavipetro TEST 2"},"plugin": {"file":"slb_plugin_rm_biciso.so","type":"RM","args": {"nodrop":"n"}}},</v>
      </c>
    </row>
    <row r="49" spans="1:18">
      <c r="A49" s="30"/>
      <c r="B49" s="7" t="s">
        <v>473</v>
      </c>
      <c r="C49" s="7" t="s">
        <v>497</v>
      </c>
      <c r="D49" s="8">
        <v>7</v>
      </c>
      <c r="E49" s="8">
        <v>11791</v>
      </c>
      <c r="F49" s="8" t="s">
        <v>8</v>
      </c>
      <c r="G49" s="8" t="s">
        <v>208</v>
      </c>
      <c r="H49" s="8" t="s">
        <v>437</v>
      </c>
      <c r="I49" s="8"/>
      <c r="J49" s="8">
        <v>3212</v>
      </c>
      <c r="K49" s="33" t="s">
        <v>437</v>
      </c>
      <c r="L49" s="33" t="str">
        <f t="shared" si="6"/>
        <v>172.29.9.67</v>
      </c>
      <c r="M49" s="33">
        <v>33212</v>
      </c>
      <c r="N49" s="33"/>
      <c r="O49" s="33"/>
      <c r="P49" s="33" t="s">
        <v>94</v>
      </c>
      <c r="Q49" s="34" t="s">
        <v>95</v>
      </c>
      <c r="R49" s="3" t="str">
        <f t="shared" si="1"/>
        <v>"7":{"type":"con","dst_persist":"n","src":{"33212":{"raddr":"172.29.9.67:0","mhdr":"iBHb2","name":"NODO-01"}},"dst":{"mode":"server","raddr":"0.0.0.0:0","lport":"3212 iBHb2","name":"Suda PL (1112) TEST 1"},"plugin": {"file":"slb_plugin_rm_biciso.so","type":"RM","args": {"nodrop":"n"}}},</v>
      </c>
    </row>
    <row r="50" spans="1:18" ht="15" thickBot="1">
      <c r="A50" s="40"/>
      <c r="B50" s="16" t="s">
        <v>474</v>
      </c>
      <c r="C50" s="16" t="s">
        <v>497</v>
      </c>
      <c r="D50" s="17">
        <v>8</v>
      </c>
      <c r="E50" s="17">
        <v>11792</v>
      </c>
      <c r="F50" s="17" t="s">
        <v>8</v>
      </c>
      <c r="G50" s="17" t="s">
        <v>208</v>
      </c>
      <c r="H50" s="17" t="s">
        <v>437</v>
      </c>
      <c r="I50" s="17"/>
      <c r="J50" s="17">
        <v>3312</v>
      </c>
      <c r="K50" s="35" t="s">
        <v>437</v>
      </c>
      <c r="L50" s="35" t="str">
        <f t="shared" si="6"/>
        <v>172.29.9.67</v>
      </c>
      <c r="M50" s="35">
        <v>33312</v>
      </c>
      <c r="N50" s="35"/>
      <c r="O50" s="35"/>
      <c r="P50" s="35" t="s">
        <v>94</v>
      </c>
      <c r="Q50" s="36" t="s">
        <v>96</v>
      </c>
      <c r="R50" s="3" t="str">
        <f t="shared" si="1"/>
        <v>"8":{"type":"con","dst_persist":"n","src":{"33312":{"raddr":"172.29.9.67:0","mhdr":"iBHb2","name":"NODO-01"}},"dst":{"mode":"server","raddr":"0.0.0.0:0","lport":"3312 iBHb2","name":"Suda PL (1112) TEST 2"},"plugin": {"file":"slb_plugin_rm_biciso.so","type":"RM","args": {"nodrop":"n"}}}}},</v>
      </c>
    </row>
    <row r="51" spans="1:18" ht="15" thickBot="1">
      <c r="A51" s="92">
        <f>A43+1</f>
        <v>9</v>
      </c>
      <c r="B51" s="2" t="s">
        <v>84</v>
      </c>
      <c r="C51" s="23" t="str">
        <f>IF(C227="S","N","S")</f>
        <v>S</v>
      </c>
      <c r="D51" s="6">
        <v>1</v>
      </c>
      <c r="E51" s="6">
        <v>10751</v>
      </c>
      <c r="F51" s="6" t="s">
        <v>8</v>
      </c>
      <c r="G51" s="6" t="s">
        <v>208</v>
      </c>
      <c r="H51" s="6" t="s">
        <v>437</v>
      </c>
      <c r="I51" s="6"/>
      <c r="J51" s="6">
        <v>6234</v>
      </c>
      <c r="K51" s="33" t="s">
        <v>437</v>
      </c>
      <c r="L51" s="33" t="str">
        <f t="shared" si="2"/>
        <v>172.29.9.67</v>
      </c>
      <c r="M51" s="33">
        <v>36234</v>
      </c>
      <c r="N51" s="33"/>
      <c r="O51" s="33"/>
      <c r="P51" s="33" t="s">
        <v>94</v>
      </c>
      <c r="Q51" s="34" t="s">
        <v>95</v>
      </c>
      <c r="R51" s="3" t="str">
        <f t="shared" si="1"/>
        <v>"9":{"rules":{"1":{"type":"con","dst_persist":"n","src":{"36234":{"raddr":"172.29.9.67:0","mhdr":"iBHb2","name":"NODO-01"}},"dst":{"mode":"server","raddr":"0.0.0.0:0","lport":"6234 iBHb2","name":"DAVIVIEN DN Cr 1"},"plugin": {"file":"slb_plugin_rm_biciso.so","type":"RM","args": {"nodrop":"n"}}},</v>
      </c>
    </row>
    <row r="52" spans="1:18" ht="15" thickBot="1">
      <c r="A52" s="63"/>
      <c r="B52" s="2" t="s">
        <v>85</v>
      </c>
      <c r="C52" s="23" t="str">
        <f>IF(C228="S","N","S")</f>
        <v>S</v>
      </c>
      <c r="D52" s="6">
        <v>2</v>
      </c>
      <c r="E52" s="6">
        <v>10752</v>
      </c>
      <c r="F52" s="6" t="s">
        <v>8</v>
      </c>
      <c r="G52" s="6" t="s">
        <v>208</v>
      </c>
      <c r="H52" s="6" t="s">
        <v>437</v>
      </c>
      <c r="I52" s="6"/>
      <c r="J52" s="6">
        <v>7234</v>
      </c>
      <c r="K52" s="33" t="s">
        <v>437</v>
      </c>
      <c r="L52" s="33" t="str">
        <f t="shared" si="2"/>
        <v>172.29.9.67</v>
      </c>
      <c r="M52" s="33">
        <v>37234</v>
      </c>
      <c r="N52" s="33"/>
      <c r="O52" s="33"/>
      <c r="P52" s="33" t="s">
        <v>94</v>
      </c>
      <c r="Q52" s="34" t="s">
        <v>95</v>
      </c>
      <c r="R52" s="3" t="str">
        <f t="shared" si="1"/>
        <v>"2":{"type":"con","dst_persist":"n","src":{"37234":{"raddr":"172.29.9.67:0","mhdr":"iBHb2","name":"NODO-01"}},"dst":{"mode":"server","raddr":"0.0.0.0:0","lport":"7234 iBHb2","name":"DAVIVIEN DN Cr 2"},"plugin": {"file":"slb_plugin_rm_biciso.so","type":"RM","args": {"nodrop":"n"}}},</v>
      </c>
    </row>
    <row r="53" spans="1:18" ht="15" thickBot="1">
      <c r="A53" s="63"/>
      <c r="B53" s="2" t="s">
        <v>86</v>
      </c>
      <c r="C53" s="23" t="str">
        <f>IF(C225="S","N","S")</f>
        <v>S</v>
      </c>
      <c r="D53" s="6">
        <v>3</v>
      </c>
      <c r="E53" s="54" t="s">
        <v>366</v>
      </c>
      <c r="F53" s="6" t="s">
        <v>8</v>
      </c>
      <c r="G53" s="6" t="s">
        <v>208</v>
      </c>
      <c r="H53" s="6" t="s">
        <v>437</v>
      </c>
      <c r="I53" s="6"/>
      <c r="J53" s="6">
        <v>8151</v>
      </c>
      <c r="K53" s="33" t="s">
        <v>437</v>
      </c>
      <c r="L53" s="33" t="str">
        <f t="shared" si="2"/>
        <v>172.29.9.67</v>
      </c>
      <c r="M53" s="33">
        <v>38151</v>
      </c>
      <c r="N53" s="33"/>
      <c r="O53" s="33"/>
      <c r="P53" s="33" t="s">
        <v>94</v>
      </c>
      <c r="Q53" s="34" t="s">
        <v>95</v>
      </c>
      <c r="R53" s="3" t="str">
        <f t="shared" si="1"/>
        <v>"3":{"type":"con","dst_persist":"n","src":{"38151":{"raddr":"172.29.9.67:0","mhdr":"iBHb2","name":"NODO-01"}},"dst":{"mode":"server","raddr":"0.0.0.0:0","lport":"8151 iBHb2","name":"DAVIVIEN V Cr 1"},"plugin": {"file":"slb_plugin_rm_biciso.so","type":"RM","args": {"nodrop":"n"}}},</v>
      </c>
    </row>
    <row r="54" spans="1:18" ht="15" thickBot="1">
      <c r="A54" s="63"/>
      <c r="B54" s="2" t="s">
        <v>87</v>
      </c>
      <c r="C54" s="23" t="str">
        <f>IF(C226="S","N","S")</f>
        <v>S</v>
      </c>
      <c r="D54" s="6">
        <v>4</v>
      </c>
      <c r="E54" s="54" t="s">
        <v>367</v>
      </c>
      <c r="F54" s="6" t="s">
        <v>8</v>
      </c>
      <c r="G54" s="6" t="s">
        <v>208</v>
      </c>
      <c r="H54" s="6" t="s">
        <v>437</v>
      </c>
      <c r="I54" s="6"/>
      <c r="J54" s="6">
        <v>9151</v>
      </c>
      <c r="K54" s="33" t="s">
        <v>437</v>
      </c>
      <c r="L54" s="33" t="str">
        <f t="shared" si="2"/>
        <v>172.29.9.67</v>
      </c>
      <c r="M54" s="33">
        <v>39151</v>
      </c>
      <c r="N54" s="33"/>
      <c r="O54" s="33"/>
      <c r="P54" s="33" t="s">
        <v>94</v>
      </c>
      <c r="Q54" s="34" t="s">
        <v>95</v>
      </c>
      <c r="R54" s="3" t="str">
        <f t="shared" si="1"/>
        <v>"4":{"type":"con","dst_persist":"n","src":{"39151":{"raddr":"172.29.9.67:0","mhdr":"iBHb2","name":"NODO-01"}},"dst":{"mode":"server","raddr":"0.0.0.0:0","lport":"9151 iBHb2","name":"DAVIVIEN V Cr 2"},"plugin": {"file":"slb_plugin_rm_biciso.so","type":"RM","args": {"nodrop":"n"}}},</v>
      </c>
    </row>
    <row r="55" spans="1:18" ht="15" thickBot="1">
      <c r="A55" s="63"/>
      <c r="B55" s="7" t="s">
        <v>88</v>
      </c>
      <c r="C55" s="23" t="str">
        <f>IF(C227="S","N","S")</f>
        <v>S</v>
      </c>
      <c r="D55" s="6">
        <v>5</v>
      </c>
      <c r="E55" s="6">
        <v>10771</v>
      </c>
      <c r="F55" s="6" t="s">
        <v>8</v>
      </c>
      <c r="G55" s="6" t="s">
        <v>91</v>
      </c>
      <c r="H55" s="6" t="s">
        <v>437</v>
      </c>
      <c r="I55" s="6"/>
      <c r="J55" s="6">
        <v>6951</v>
      </c>
      <c r="K55" s="33" t="s">
        <v>437</v>
      </c>
      <c r="L55" s="33" t="str">
        <f t="shared" si="2"/>
        <v>172.29.9.67</v>
      </c>
      <c r="M55" s="33">
        <v>36951</v>
      </c>
      <c r="N55" s="33"/>
      <c r="O55" s="33"/>
      <c r="P55" s="33" t="s">
        <v>94</v>
      </c>
      <c r="Q55" s="34" t="s">
        <v>95</v>
      </c>
      <c r="R55" s="3" t="str">
        <f t="shared" si="1"/>
        <v>"5":{"type":"con","dst_persist":"n","src":{"36951":{"raddr":"172.29.9.67:0","mhdr":"iBHb2","name":"NODO-01"}},"dst":{"mode":"server","raddr":"10.2.103.3:0","lport":"6951 iBHb2","name":"DAVIVIEN RAPPI 1"},"plugin": {"file":"slb_plugin_rm_biciso.so","type":"RM","args": {"nodrop":"n"}}},</v>
      </c>
    </row>
    <row r="56" spans="1:18" ht="15" thickBot="1">
      <c r="A56" s="64"/>
      <c r="B56" s="16" t="s">
        <v>89</v>
      </c>
      <c r="C56" s="23" t="str">
        <f>IF(C228="S","N","S")</f>
        <v>S</v>
      </c>
      <c r="D56" s="15">
        <v>6</v>
      </c>
      <c r="E56" s="15">
        <v>10772</v>
      </c>
      <c r="F56" s="15" t="s">
        <v>8</v>
      </c>
      <c r="G56" s="15" t="s">
        <v>91</v>
      </c>
      <c r="H56" s="15" t="s">
        <v>437</v>
      </c>
      <c r="I56" s="15"/>
      <c r="J56" s="15">
        <v>7951</v>
      </c>
      <c r="K56" s="35" t="s">
        <v>437</v>
      </c>
      <c r="L56" s="35" t="str">
        <f t="shared" si="2"/>
        <v>172.29.9.67</v>
      </c>
      <c r="M56" s="35">
        <v>37951</v>
      </c>
      <c r="N56" s="35"/>
      <c r="O56" s="35"/>
      <c r="P56" s="35" t="s">
        <v>94</v>
      </c>
      <c r="Q56" s="36" t="s">
        <v>95</v>
      </c>
      <c r="R56" s="3" t="str">
        <f t="shared" si="1"/>
        <v>"6":{"type":"con","dst_persist":"n","src":{"37951":{"raddr":"172.29.9.67:0","mhdr":"iBHb2","name":"NODO-01"}},"dst":{"mode":"server","raddr":"10.2.103.3:0","lport":"7951 iBHb2","name":"DAVIVIEN RAPPI 2"},"plugin": {"file":"slb_plugin_rm_biciso.so","type":"RM","args": {"nodrop":"n"}}},</v>
      </c>
    </row>
    <row r="57" spans="1:18" ht="15" thickBot="1">
      <c r="A57" s="92"/>
      <c r="B57" s="10" t="s">
        <v>80</v>
      </c>
      <c r="C57" s="23" t="s">
        <v>497</v>
      </c>
      <c r="D57" s="11">
        <v>7</v>
      </c>
      <c r="E57" s="11">
        <v>10721</v>
      </c>
      <c r="F57" s="11" t="s">
        <v>8</v>
      </c>
      <c r="G57" s="11" t="s">
        <v>208</v>
      </c>
      <c r="H57" s="11" t="s">
        <v>437</v>
      </c>
      <c r="I57" s="11"/>
      <c r="J57" s="11">
        <v>5234</v>
      </c>
      <c r="K57" s="32" t="s">
        <v>437</v>
      </c>
      <c r="L57" s="32" t="str">
        <f t="shared" si="2"/>
        <v>172.29.9.67</v>
      </c>
      <c r="M57" s="32">
        <v>35234</v>
      </c>
      <c r="N57" s="32"/>
      <c r="O57" s="32"/>
      <c r="P57" s="32" t="s">
        <v>94</v>
      </c>
      <c r="Q57" s="49" t="s">
        <v>95</v>
      </c>
      <c r="R57" s="3" t="str">
        <f t="shared" si="1"/>
        <v>"7":{"type":"con","dst_persist":"n","src":{"35234":{"raddr":"172.29.9.67:0","mhdr":"iBHb2","name":"NODO-01"}},"dst":{"mode":"server","raddr":"0.0.0.0:0","lport":"5234 iBHb2","name":"DAVIVIEN Db 1"},"plugin": {"file":"slb_plugin_rm_biciso.so","type":"RM","args": {"nodrop":"n"}}},</v>
      </c>
    </row>
    <row r="58" spans="1:18" ht="15" thickBot="1">
      <c r="A58" s="63"/>
      <c r="B58" s="2" t="s">
        <v>81</v>
      </c>
      <c r="C58" s="23" t="s">
        <v>497</v>
      </c>
      <c r="D58" s="6">
        <v>8</v>
      </c>
      <c r="E58" s="6">
        <v>10722</v>
      </c>
      <c r="F58" s="6" t="s">
        <v>8</v>
      </c>
      <c r="G58" s="6" t="s">
        <v>208</v>
      </c>
      <c r="H58" s="6" t="s">
        <v>437</v>
      </c>
      <c r="I58" s="6"/>
      <c r="J58" s="6">
        <v>4234</v>
      </c>
      <c r="K58" s="33" t="s">
        <v>437</v>
      </c>
      <c r="L58" s="33" t="str">
        <f t="shared" si="2"/>
        <v>172.29.9.67</v>
      </c>
      <c r="M58" s="33">
        <v>34234</v>
      </c>
      <c r="N58" s="33"/>
      <c r="O58" s="33"/>
      <c r="P58" s="33" t="s">
        <v>94</v>
      </c>
      <c r="Q58" s="34" t="s">
        <v>95</v>
      </c>
      <c r="R58" s="3" t="str">
        <f t="shared" si="1"/>
        <v>"8":{"type":"con","dst_persist":"n","src":{"34234":{"raddr":"172.29.9.67:0","mhdr":"iBHb2","name":"NODO-01"}},"dst":{"mode":"server","raddr":"0.0.0.0:0","lport":"4234 iBHb2","name":"DAVIVIEN Db 2"},"plugin": {"file":"slb_plugin_rm_biciso.so","type":"RM","args": {"nodrop":"n"}}},</v>
      </c>
    </row>
    <row r="59" spans="1:18" ht="15" thickBot="1">
      <c r="A59" s="63"/>
      <c r="B59" s="2" t="s">
        <v>82</v>
      </c>
      <c r="C59" s="23" t="s">
        <v>497</v>
      </c>
      <c r="D59" s="6">
        <v>9</v>
      </c>
      <c r="E59" s="54" t="s">
        <v>377</v>
      </c>
      <c r="F59" s="6" t="s">
        <v>8</v>
      </c>
      <c r="G59" s="6" t="s">
        <v>208</v>
      </c>
      <c r="H59" s="6" t="s">
        <v>437</v>
      </c>
      <c r="I59" s="6"/>
      <c r="J59" s="6">
        <v>2034</v>
      </c>
      <c r="K59" s="33" t="s">
        <v>437</v>
      </c>
      <c r="L59" s="33" t="str">
        <f t="shared" si="2"/>
        <v>172.29.9.67</v>
      </c>
      <c r="M59" s="33">
        <v>32034</v>
      </c>
      <c r="N59" s="33"/>
      <c r="O59" s="33"/>
      <c r="P59" s="33" t="s">
        <v>94</v>
      </c>
      <c r="Q59" s="34" t="s">
        <v>95</v>
      </c>
      <c r="R59" s="3" t="str">
        <f t="shared" si="1"/>
        <v>"9":{"type":"con","dst_persist":"n","src":{"32034":{"raddr":"172.29.9.67:0","mhdr":"iBHb2","name":"NODO-01"}},"dst":{"mode":"server","raddr":"0.0.0.0:0","lport":"2034 iBHb2","name":"DAVIVIEN V Db 1"},"plugin": {"file":"slb_plugin_rm_biciso.so","type":"RM","args": {"nodrop":"n"}}},</v>
      </c>
    </row>
    <row r="60" spans="1:18" ht="15" thickBot="1">
      <c r="A60" s="63"/>
      <c r="B60" s="2" t="s">
        <v>83</v>
      </c>
      <c r="C60" s="23" t="s">
        <v>497</v>
      </c>
      <c r="D60" s="6">
        <v>10</v>
      </c>
      <c r="E60" s="54" t="s">
        <v>378</v>
      </c>
      <c r="F60" s="6" t="s">
        <v>8</v>
      </c>
      <c r="G60" s="6" t="s">
        <v>208</v>
      </c>
      <c r="H60" s="6" t="s">
        <v>437</v>
      </c>
      <c r="I60" s="6"/>
      <c r="J60" s="6">
        <v>3034</v>
      </c>
      <c r="K60" s="33" t="s">
        <v>437</v>
      </c>
      <c r="L60" s="33" t="str">
        <f t="shared" si="2"/>
        <v>172.29.9.67</v>
      </c>
      <c r="M60" s="33">
        <v>33034</v>
      </c>
      <c r="N60" s="33"/>
      <c r="O60" s="33"/>
      <c r="P60" s="33" t="s">
        <v>94</v>
      </c>
      <c r="Q60" s="34" t="s">
        <v>96</v>
      </c>
      <c r="R60" s="3" t="str">
        <f t="shared" si="1"/>
        <v>"10":{"type":"con","dst_persist":"n","src":{"33034":{"raddr":"172.29.9.67:0","mhdr":"iBHb2","name":"NODO-01"}},"dst":{"mode":"server","raddr":"0.0.0.0:0","lport":"3034 iBHb2","name":"DAVIVIEN V Db 2"},"plugin": {"file":"slb_plugin_rm_biciso.so","type":"RM","args": {"nodrop":"n"}}}}},</v>
      </c>
    </row>
    <row r="61" spans="1:18">
      <c r="A61" s="47">
        <f>A51+1</f>
        <v>10</v>
      </c>
      <c r="B61" s="23" t="s">
        <v>503</v>
      </c>
      <c r="C61" s="23" t="s">
        <v>497</v>
      </c>
      <c r="D61" s="29">
        <v>1</v>
      </c>
      <c r="E61" s="29">
        <v>13201</v>
      </c>
      <c r="F61" s="29" t="s">
        <v>8</v>
      </c>
      <c r="G61" s="94" t="s">
        <v>1251</v>
      </c>
      <c r="H61" s="29" t="s">
        <v>55</v>
      </c>
      <c r="I61" s="29"/>
      <c r="J61" s="29">
        <v>5026</v>
      </c>
      <c r="K61" s="32" t="s">
        <v>55</v>
      </c>
      <c r="L61" s="32" t="str">
        <f t="shared" si="6"/>
        <v>172.29.9.67</v>
      </c>
      <c r="M61" s="32">
        <v>35026</v>
      </c>
      <c r="N61" s="32"/>
      <c r="O61" s="32"/>
      <c r="P61" s="32" t="s">
        <v>94</v>
      </c>
      <c r="Q61" s="49" t="s">
        <v>95</v>
      </c>
      <c r="R61" s="3" t="str">
        <f t="shared" si="1"/>
        <v>"10":{"rules":{"1":{"type":"con","dst_persist":"n","src":{"35026":{"raddr":"172.29.9.67:0","mhdr":"BHb2","name":"NODO-01"}},"dst":{"mode":"server","raddr":"192.168.220.250:0","lport":"5026 BHb2","name":"DING Tecnipagos in 1"},"plugin": {"file":"slb_plugin_rm_biciso.so","type":"RM","args": {"nodrop":"n"}}},</v>
      </c>
    </row>
    <row r="62" spans="1:18" ht="15" thickBot="1">
      <c r="A62" s="40"/>
      <c r="B62" s="16" t="s">
        <v>504</v>
      </c>
      <c r="C62" s="16" t="s">
        <v>497</v>
      </c>
      <c r="D62" s="17">
        <v>2</v>
      </c>
      <c r="E62" s="17">
        <v>13202</v>
      </c>
      <c r="F62" s="17" t="s">
        <v>8</v>
      </c>
      <c r="G62" s="68" t="s">
        <v>1251</v>
      </c>
      <c r="H62" s="17" t="s">
        <v>55</v>
      </c>
      <c r="I62" s="17"/>
      <c r="J62" s="17">
        <v>6026</v>
      </c>
      <c r="K62" s="35" t="s">
        <v>55</v>
      </c>
      <c r="L62" s="35" t="str">
        <f t="shared" si="6"/>
        <v>172.29.9.67</v>
      </c>
      <c r="M62" s="35">
        <v>36026</v>
      </c>
      <c r="N62" s="35"/>
      <c r="O62" s="35"/>
      <c r="P62" s="35" t="s">
        <v>94</v>
      </c>
      <c r="Q62" s="36" t="s">
        <v>96</v>
      </c>
      <c r="R62" s="3" t="str">
        <f t="shared" si="1"/>
        <v>"2":{"type":"con","dst_persist":"n","src":{"36026":{"raddr":"172.29.9.67:0","mhdr":"BHb2","name":"NODO-01"}},"dst":{"mode":"server","raddr":"192.168.220.250:0","lport":"6026 BHb2","name":"DING Tecnipagos in 2"},"plugin": {"file":"slb_plugin_rm_biciso.so","type":"RM","args": {"nodrop":"n"}}}}},</v>
      </c>
    </row>
    <row r="63" spans="1:18">
      <c r="A63" s="47">
        <f>A61+1</f>
        <v>11</v>
      </c>
      <c r="B63" s="23" t="s">
        <v>452</v>
      </c>
      <c r="C63" s="10" t="s">
        <v>497</v>
      </c>
      <c r="D63" s="29">
        <v>1</v>
      </c>
      <c r="E63" s="93" t="s">
        <v>456</v>
      </c>
      <c r="F63" s="29" t="s">
        <v>8</v>
      </c>
      <c r="G63" s="96" t="s">
        <v>208</v>
      </c>
      <c r="H63" s="29" t="s">
        <v>55</v>
      </c>
      <c r="I63" s="29"/>
      <c r="J63" s="29">
        <v>3044</v>
      </c>
      <c r="K63" s="32" t="s">
        <v>55</v>
      </c>
      <c r="L63" s="32" t="str">
        <f t="shared" si="0"/>
        <v>172.29.9.67</v>
      </c>
      <c r="M63" s="32">
        <v>33044</v>
      </c>
      <c r="N63" s="32"/>
      <c r="O63" s="32"/>
      <c r="P63" s="32" t="s">
        <v>94</v>
      </c>
      <c r="Q63" s="49" t="s">
        <v>95</v>
      </c>
      <c r="R63" s="3" t="str">
        <f t="shared" si="1"/>
        <v>"11":{"rules":{"1":{"type":"con","dst_persist":"n","src":{"33044":{"raddr":"172.29.9.67:0","mhdr":"BHb2","name":"NODO-01"}},"dst":{"mode":"server","raddr":"0.0.0.0:0","lport":"3044 BHb2","name":"BUS Pasarelas 1"},"plugin": {"file":"slb_plugin_rm_biciso.so","type":"RM","args": {"nodrop":"n"}}},</v>
      </c>
    </row>
    <row r="64" spans="1:18">
      <c r="A64" s="30"/>
      <c r="B64" s="7" t="s">
        <v>453</v>
      </c>
      <c r="C64" s="2" t="s">
        <v>497</v>
      </c>
      <c r="D64" s="8">
        <v>2</v>
      </c>
      <c r="E64" s="43" t="s">
        <v>457</v>
      </c>
      <c r="F64" s="8" t="s">
        <v>8</v>
      </c>
      <c r="G64" s="86" t="s">
        <v>208</v>
      </c>
      <c r="H64" s="8" t="s">
        <v>55</v>
      </c>
      <c r="I64" s="8"/>
      <c r="J64" s="8">
        <v>3055</v>
      </c>
      <c r="K64" s="33" t="s">
        <v>55</v>
      </c>
      <c r="L64" s="33" t="str">
        <f t="shared" si="0"/>
        <v>172.29.9.67</v>
      </c>
      <c r="M64" s="33">
        <v>33055</v>
      </c>
      <c r="N64" s="33"/>
      <c r="O64" s="33"/>
      <c r="P64" s="33" t="s">
        <v>94</v>
      </c>
      <c r="Q64" s="34" t="s">
        <v>95</v>
      </c>
      <c r="R64" s="3" t="str">
        <f t="shared" si="1"/>
        <v>"2":{"type":"con","dst_persist":"n","src":{"33055":{"raddr":"172.29.9.67:0","mhdr":"BHb2","name":"NODO-01"}},"dst":{"mode":"server","raddr":"0.0.0.0:0","lport":"3055 BHb2","name":"BUS Pasarleas 2"},"plugin": {"file":"slb_plugin_rm_biciso.so","type":"RM","args": {"nodrop":"n"}}},</v>
      </c>
    </row>
    <row r="65" spans="1:18">
      <c r="A65" s="30"/>
      <c r="B65" s="7" t="s">
        <v>454</v>
      </c>
      <c r="C65" s="2" t="s">
        <v>497</v>
      </c>
      <c r="D65" s="8">
        <v>3</v>
      </c>
      <c r="E65" s="43" t="s">
        <v>458</v>
      </c>
      <c r="F65" s="8" t="s">
        <v>14</v>
      </c>
      <c r="G65" s="8"/>
      <c r="H65" s="8" t="s">
        <v>55</v>
      </c>
      <c r="I65" s="8" t="s">
        <v>389</v>
      </c>
      <c r="J65" s="8">
        <v>3044</v>
      </c>
      <c r="K65" s="33" t="s">
        <v>55</v>
      </c>
      <c r="L65" s="33" t="str">
        <f t="shared" si="0"/>
        <v>172.29.9.67</v>
      </c>
      <c r="M65" s="33">
        <v>53044</v>
      </c>
      <c r="N65" s="33"/>
      <c r="O65" s="33"/>
      <c r="P65" s="33" t="s">
        <v>94</v>
      </c>
      <c r="Q65" s="34" t="s">
        <v>95</v>
      </c>
      <c r="R65" s="3" t="str">
        <f t="shared" si="1"/>
        <v>"3":{"type":"con","dst_persist":"n","src":{"53044":{"raddr":"172.29.9.67:0","mhdr":"BHb2","name":"NODO-01"}},"dst":{"mode":"client","raddr":"172.26.38.18:3044","mhdr":"BHb2","name":"B24 Pasarelas 1 "},"plugin": {"file":"slb_plugin_rm_biciso.so","type":"RM","args": {"nodrop":"n"}}},</v>
      </c>
    </row>
    <row r="66" spans="1:18" ht="15" thickBot="1">
      <c r="A66" s="97"/>
      <c r="B66" s="98" t="s">
        <v>455</v>
      </c>
      <c r="C66" s="99" t="s">
        <v>497</v>
      </c>
      <c r="D66" s="100">
        <v>4</v>
      </c>
      <c r="E66" s="101" t="s">
        <v>459</v>
      </c>
      <c r="F66" s="100" t="s">
        <v>14</v>
      </c>
      <c r="G66" s="100"/>
      <c r="H66" s="100" t="s">
        <v>55</v>
      </c>
      <c r="I66" s="100" t="s">
        <v>389</v>
      </c>
      <c r="J66" s="100">
        <v>3055</v>
      </c>
      <c r="K66" s="61" t="s">
        <v>55</v>
      </c>
      <c r="L66" s="61" t="str">
        <f t="shared" si="0"/>
        <v>172.29.9.67</v>
      </c>
      <c r="M66" s="61">
        <v>53055</v>
      </c>
      <c r="N66" s="61"/>
      <c r="O66" s="61"/>
      <c r="P66" s="61" t="s">
        <v>94</v>
      </c>
      <c r="Q66" s="82" t="s">
        <v>96</v>
      </c>
      <c r="R66" s="3" t="str">
        <f t="shared" si="1"/>
        <v>"4":{"type":"con","dst_persist":"n","src":{"53055":{"raddr":"172.29.9.67:0","mhdr":"BHb2","name":"NODO-01"}},"dst":{"mode":"client","raddr":"172.26.38.18:3055","mhdr":"BHb2","name":"B24 Pasarelas 2"},"plugin": {"file":"slb_plugin_rm_biciso.so","type":"RM","args": {"nodrop":"n"}}}}},</v>
      </c>
    </row>
    <row r="67" spans="1:18">
      <c r="A67" s="47">
        <f>A63+1</f>
        <v>12</v>
      </c>
      <c r="B67" s="23" t="s">
        <v>102</v>
      </c>
      <c r="C67" s="90" t="s">
        <v>496</v>
      </c>
      <c r="D67" s="29">
        <v>1</v>
      </c>
      <c r="E67" s="93" t="s">
        <v>349</v>
      </c>
      <c r="F67" s="29" t="s">
        <v>8</v>
      </c>
      <c r="G67" s="29" t="s">
        <v>100</v>
      </c>
      <c r="H67" s="29" t="s">
        <v>437</v>
      </c>
      <c r="I67" s="29"/>
      <c r="J67" s="29">
        <v>2013</v>
      </c>
      <c r="K67" s="32" t="s">
        <v>437</v>
      </c>
      <c r="L67" s="32" t="str">
        <f t="shared" si="2"/>
        <v>172.29.9.67</v>
      </c>
      <c r="M67" s="32">
        <v>32013</v>
      </c>
      <c r="N67" s="32"/>
      <c r="O67" s="32"/>
      <c r="P67" s="32" t="s">
        <v>94</v>
      </c>
      <c r="Q67" s="49" t="s">
        <v>95</v>
      </c>
      <c r="R67" s="3" t="str">
        <f t="shared" si="1"/>
        <v/>
      </c>
    </row>
    <row r="68" spans="1:18">
      <c r="A68" s="30"/>
      <c r="B68" s="7" t="s">
        <v>103</v>
      </c>
      <c r="C68" s="62" t="s">
        <v>496</v>
      </c>
      <c r="D68" s="8">
        <v>2</v>
      </c>
      <c r="E68" s="43" t="s">
        <v>350</v>
      </c>
      <c r="F68" s="8" t="s">
        <v>8</v>
      </c>
      <c r="G68" s="8" t="s">
        <v>100</v>
      </c>
      <c r="H68" s="8" t="s">
        <v>437</v>
      </c>
      <c r="I68" s="8"/>
      <c r="J68" s="8">
        <v>3013</v>
      </c>
      <c r="K68" s="33" t="s">
        <v>437</v>
      </c>
      <c r="L68" s="33" t="str">
        <f t="shared" si="2"/>
        <v>172.29.9.67</v>
      </c>
      <c r="M68" s="33">
        <v>33013</v>
      </c>
      <c r="N68" s="33"/>
      <c r="O68" s="33"/>
      <c r="P68" s="33" t="s">
        <v>94</v>
      </c>
      <c r="Q68" s="34" t="s">
        <v>95</v>
      </c>
      <c r="R68" s="3" t="str">
        <f t="shared" si="1"/>
        <v/>
      </c>
    </row>
    <row r="69" spans="1:18">
      <c r="A69" s="30"/>
      <c r="B69" s="7" t="s">
        <v>104</v>
      </c>
      <c r="C69" s="62" t="s">
        <v>496</v>
      </c>
      <c r="D69" s="8">
        <v>3</v>
      </c>
      <c r="E69" s="43" t="s">
        <v>351</v>
      </c>
      <c r="F69" s="8" t="s">
        <v>8</v>
      </c>
      <c r="G69" s="8" t="s">
        <v>100</v>
      </c>
      <c r="H69" s="8" t="s">
        <v>437</v>
      </c>
      <c r="I69" s="8"/>
      <c r="J69" s="8">
        <v>4013</v>
      </c>
      <c r="K69" s="33" t="s">
        <v>437</v>
      </c>
      <c r="L69" s="33" t="str">
        <f t="shared" si="2"/>
        <v>172.29.9.67</v>
      </c>
      <c r="M69" s="33">
        <v>34013</v>
      </c>
      <c r="N69" s="33"/>
      <c r="O69" s="33"/>
      <c r="P69" s="33" t="s">
        <v>94</v>
      </c>
      <c r="Q69" s="34" t="s">
        <v>95</v>
      </c>
      <c r="R69" s="3" t="str">
        <f t="shared" si="1"/>
        <v/>
      </c>
    </row>
    <row r="70" spans="1:18">
      <c r="A70" s="30"/>
      <c r="B70" s="7" t="s">
        <v>105</v>
      </c>
      <c r="C70" s="62" t="s">
        <v>496</v>
      </c>
      <c r="D70" s="8">
        <v>4</v>
      </c>
      <c r="E70" s="43" t="s">
        <v>352</v>
      </c>
      <c r="F70" s="8" t="s">
        <v>8</v>
      </c>
      <c r="G70" s="8" t="s">
        <v>100</v>
      </c>
      <c r="H70" s="8" t="s">
        <v>437</v>
      </c>
      <c r="I70" s="8"/>
      <c r="J70" s="8">
        <v>5013</v>
      </c>
      <c r="K70" s="33" t="s">
        <v>437</v>
      </c>
      <c r="L70" s="33" t="str">
        <f t="shared" si="2"/>
        <v>172.29.9.67</v>
      </c>
      <c r="M70" s="33">
        <v>35013</v>
      </c>
      <c r="N70" s="33"/>
      <c r="O70" s="33"/>
      <c r="P70" s="33" t="s">
        <v>94</v>
      </c>
      <c r="Q70" s="34" t="s">
        <v>95</v>
      </c>
      <c r="R70" s="3" t="str">
        <f t="shared" si="1"/>
        <v/>
      </c>
    </row>
    <row r="71" spans="1:18">
      <c r="A71" s="41"/>
      <c r="B71" s="18" t="s">
        <v>108</v>
      </c>
      <c r="C71" s="95" t="s">
        <v>496</v>
      </c>
      <c r="D71" s="19">
        <v>5</v>
      </c>
      <c r="E71" s="42" t="s">
        <v>354</v>
      </c>
      <c r="F71" s="19" t="s">
        <v>14</v>
      </c>
      <c r="G71" s="19"/>
      <c r="H71" s="19" t="s">
        <v>437</v>
      </c>
      <c r="I71" s="19" t="s">
        <v>13</v>
      </c>
      <c r="J71" s="19">
        <v>2013</v>
      </c>
      <c r="K71" s="37" t="s">
        <v>437</v>
      </c>
      <c r="L71" s="37" t="str">
        <f t="shared" si="2"/>
        <v>172.29.9.67</v>
      </c>
      <c r="M71" s="37">
        <v>52013</v>
      </c>
      <c r="N71" s="37"/>
      <c r="O71" s="37"/>
      <c r="P71" s="37" t="s">
        <v>94</v>
      </c>
      <c r="Q71" s="38" t="s">
        <v>95</v>
      </c>
      <c r="R71" s="3" t="str">
        <f t="shared" si="1"/>
        <v/>
      </c>
    </row>
    <row r="72" spans="1:18">
      <c r="A72" s="30"/>
      <c r="B72" s="7" t="s">
        <v>109</v>
      </c>
      <c r="C72" s="62" t="s">
        <v>496</v>
      </c>
      <c r="D72" s="8">
        <v>6</v>
      </c>
      <c r="E72" s="43" t="s">
        <v>355</v>
      </c>
      <c r="F72" s="8" t="s">
        <v>14</v>
      </c>
      <c r="G72" s="8"/>
      <c r="H72" s="8" t="s">
        <v>437</v>
      </c>
      <c r="I72" s="8" t="s">
        <v>13</v>
      </c>
      <c r="J72" s="8">
        <v>3013</v>
      </c>
      <c r="K72" s="33" t="s">
        <v>437</v>
      </c>
      <c r="L72" s="33" t="str">
        <f t="shared" si="2"/>
        <v>172.29.9.67</v>
      </c>
      <c r="M72" s="33">
        <v>53013</v>
      </c>
      <c r="N72" s="33"/>
      <c r="O72" s="33"/>
      <c r="P72" s="33" t="s">
        <v>94</v>
      </c>
      <c r="Q72" s="34" t="s">
        <v>95</v>
      </c>
      <c r="R72" s="3" t="str">
        <f t="shared" si="1"/>
        <v/>
      </c>
    </row>
    <row r="73" spans="1:18">
      <c r="A73" s="30"/>
      <c r="B73" s="7" t="s">
        <v>110</v>
      </c>
      <c r="C73" s="62" t="s">
        <v>496</v>
      </c>
      <c r="D73" s="8">
        <v>7</v>
      </c>
      <c r="E73" s="43" t="s">
        <v>356</v>
      </c>
      <c r="F73" s="8" t="s">
        <v>14</v>
      </c>
      <c r="G73" s="8"/>
      <c r="H73" s="8" t="s">
        <v>437</v>
      </c>
      <c r="I73" s="8" t="s">
        <v>13</v>
      </c>
      <c r="J73" s="8">
        <v>4013</v>
      </c>
      <c r="K73" s="33" t="s">
        <v>437</v>
      </c>
      <c r="L73" s="33" t="str">
        <f t="shared" si="2"/>
        <v>172.29.9.67</v>
      </c>
      <c r="M73" s="33">
        <v>54013</v>
      </c>
      <c r="N73" s="33"/>
      <c r="O73" s="33"/>
      <c r="P73" s="33" t="s">
        <v>94</v>
      </c>
      <c r="Q73" s="34" t="s">
        <v>95</v>
      </c>
      <c r="R73" s="3" t="str">
        <f t="shared" si="1"/>
        <v/>
      </c>
    </row>
    <row r="74" spans="1:18" ht="15" thickBot="1">
      <c r="A74" s="40"/>
      <c r="B74" s="16" t="s">
        <v>111</v>
      </c>
      <c r="C74" s="91" t="s">
        <v>496</v>
      </c>
      <c r="D74" s="17">
        <v>8</v>
      </c>
      <c r="E74" s="44" t="s">
        <v>357</v>
      </c>
      <c r="F74" s="17" t="s">
        <v>14</v>
      </c>
      <c r="G74" s="17"/>
      <c r="H74" s="17" t="s">
        <v>437</v>
      </c>
      <c r="I74" s="17" t="s">
        <v>13</v>
      </c>
      <c r="J74" s="17">
        <v>5013</v>
      </c>
      <c r="K74" s="35" t="s">
        <v>437</v>
      </c>
      <c r="L74" s="35" t="str">
        <f t="shared" si="2"/>
        <v>172.29.9.67</v>
      </c>
      <c r="M74" s="35">
        <v>55013</v>
      </c>
      <c r="N74" s="35"/>
      <c r="O74" s="35"/>
      <c r="P74" s="35" t="s">
        <v>94</v>
      </c>
      <c r="Q74" s="36" t="s">
        <v>95</v>
      </c>
      <c r="R74" s="3" t="str">
        <f t="shared" ref="R74:R102" si="7">IF(C74="S",CONCATENATE(IF(A74&lt;&gt;"",CONCATENATE("""",A74,"""",":{","""","rules","""",":{"),""),"""",D74,""":{""type"":""con"",""dst_persist"":""n"",""src"":{""",M74,""":{""raddr"":""",L74,":0"",""mhdr"":""",K74,""",","""name""",":","""NODO-01","""}},","""dst"":{""mode"":""",F74,""",""raddr"":""",IF(F74="server",G74,I74),":",IF(F74="server",0,J74),""",""",IF(F74="server","lport","mhdr"),""":""",IF(F74="server",J74,""),IF(F74="server"," ",""),H74,""",","""name""",":","""",B74,IF(P74&lt;&gt;"",CONCATENATE("""},","""plugin""",": {","""file""",":""",P74,""",","""type""",":","""","RM""",",","""args""",": {","""nodrop""",":","""n""","}")),Q74),"")</f>
        <v/>
      </c>
    </row>
    <row r="75" spans="1:18">
      <c r="A75" s="47"/>
      <c r="B75" s="23" t="s">
        <v>106</v>
      </c>
      <c r="C75" s="90" t="s">
        <v>496</v>
      </c>
      <c r="D75" s="29">
        <v>9</v>
      </c>
      <c r="E75" s="93" t="s">
        <v>353</v>
      </c>
      <c r="F75" s="29" t="s">
        <v>8</v>
      </c>
      <c r="G75" s="29" t="s">
        <v>100</v>
      </c>
      <c r="H75" s="29" t="s">
        <v>437</v>
      </c>
      <c r="I75" s="29"/>
      <c r="J75" s="29">
        <v>6013</v>
      </c>
      <c r="K75" s="32" t="s">
        <v>437</v>
      </c>
      <c r="L75" s="32" t="str">
        <f t="shared" si="2"/>
        <v>172.29.9.67</v>
      </c>
      <c r="M75" s="32">
        <v>36013</v>
      </c>
      <c r="N75" s="32"/>
      <c r="O75" s="32"/>
      <c r="P75" s="32" t="s">
        <v>94</v>
      </c>
      <c r="Q75" s="49" t="s">
        <v>95</v>
      </c>
      <c r="R75" s="3" t="str">
        <f t="shared" si="7"/>
        <v/>
      </c>
    </row>
    <row r="76" spans="1:18" ht="15" thickBot="1">
      <c r="A76" s="40"/>
      <c r="B76" s="16" t="s">
        <v>106</v>
      </c>
      <c r="C76" s="91" t="s">
        <v>496</v>
      </c>
      <c r="D76" s="17">
        <v>10</v>
      </c>
      <c r="E76" s="44" t="s">
        <v>348</v>
      </c>
      <c r="F76" s="17" t="s">
        <v>8</v>
      </c>
      <c r="G76" s="17" t="s">
        <v>100</v>
      </c>
      <c r="H76" s="17" t="s">
        <v>437</v>
      </c>
      <c r="I76" s="17"/>
      <c r="J76" s="17">
        <v>7013</v>
      </c>
      <c r="K76" s="35" t="s">
        <v>437</v>
      </c>
      <c r="L76" s="35" t="str">
        <f t="shared" si="2"/>
        <v>172.29.9.67</v>
      </c>
      <c r="M76" s="35">
        <v>37013</v>
      </c>
      <c r="N76" s="35"/>
      <c r="O76" s="35"/>
      <c r="P76" s="35" t="s">
        <v>94</v>
      </c>
      <c r="Q76" s="36" t="s">
        <v>96</v>
      </c>
      <c r="R76" s="3" t="str">
        <f t="shared" si="7"/>
        <v/>
      </c>
    </row>
    <row r="77" spans="1:18">
      <c r="A77" s="47">
        <f>A67+1</f>
        <v>13</v>
      </c>
      <c r="B77" s="23" t="s">
        <v>1254</v>
      </c>
      <c r="C77" s="23" t="s">
        <v>497</v>
      </c>
      <c r="D77" s="29">
        <v>1</v>
      </c>
      <c r="E77" s="29">
        <v>13301</v>
      </c>
      <c r="F77" s="29" t="s">
        <v>8</v>
      </c>
      <c r="G77" s="94" t="s">
        <v>1253</v>
      </c>
      <c r="H77" s="29" t="s">
        <v>437</v>
      </c>
      <c r="I77" s="29"/>
      <c r="J77" s="29">
        <v>2047</v>
      </c>
      <c r="K77" s="32" t="s">
        <v>437</v>
      </c>
      <c r="L77" s="32" t="str">
        <f t="shared" si="6"/>
        <v>172.29.9.67</v>
      </c>
      <c r="M77" s="32">
        <v>32047</v>
      </c>
      <c r="N77" s="32"/>
      <c r="O77" s="32"/>
      <c r="P77" s="32" t="s">
        <v>94</v>
      </c>
      <c r="Q77" s="49" t="s">
        <v>95</v>
      </c>
      <c r="R77" s="3" t="str">
        <f t="shared" si="7"/>
        <v>"13":{"rules":{"1":{"type":"con","dst_persist":"n","src":{"32047":{"raddr":"172.29.9.67:0","mhdr":"iBHb2","name":"NODO-01"}},"dst":{"mode":"server","raddr":"172.26.38.73:0","lport":"2047 iBHb2","name":"Credivalores in 1"},"plugin": {"file":"slb_plugin_rm_biciso.so","type":"RM","args": {"nodrop":"n"}}},</v>
      </c>
    </row>
    <row r="78" spans="1:18" ht="15" thickBot="1">
      <c r="A78" s="40"/>
      <c r="B78" s="16" t="s">
        <v>1255</v>
      </c>
      <c r="C78" s="16" t="s">
        <v>497</v>
      </c>
      <c r="D78" s="17">
        <v>2</v>
      </c>
      <c r="E78" s="17">
        <v>13302</v>
      </c>
      <c r="F78" s="17" t="s">
        <v>8</v>
      </c>
      <c r="G78" s="68" t="s">
        <v>1253</v>
      </c>
      <c r="H78" s="17" t="s">
        <v>437</v>
      </c>
      <c r="I78" s="17"/>
      <c r="J78" s="17">
        <v>3047</v>
      </c>
      <c r="K78" s="35" t="s">
        <v>437</v>
      </c>
      <c r="L78" s="35" t="str">
        <f t="shared" si="6"/>
        <v>172.29.9.67</v>
      </c>
      <c r="M78" s="35">
        <v>33047</v>
      </c>
      <c r="N78" s="35"/>
      <c r="O78" s="35"/>
      <c r="P78" s="35" t="s">
        <v>94</v>
      </c>
      <c r="Q78" s="36" t="s">
        <v>96</v>
      </c>
      <c r="R78" s="3" t="str">
        <f t="shared" si="7"/>
        <v>"2":{"type":"con","dst_persist":"n","src":{"33047":{"raddr":"172.29.9.67:0","mhdr":"iBHb2","name":"NODO-01"}},"dst":{"mode":"server","raddr":"172.26.38.73:0","lport":"3047 iBHb2","name":"Credivalores in 2"},"plugin": {"file":"slb_plugin_rm_biciso.so","type":"RM","args": {"nodrop":"n"}}}}},</v>
      </c>
    </row>
    <row r="79" spans="1:18">
      <c r="A79" s="47">
        <f>A77+1</f>
        <v>14</v>
      </c>
      <c r="B79" s="23" t="s">
        <v>446</v>
      </c>
      <c r="C79" s="10" t="s">
        <v>497</v>
      </c>
      <c r="D79" s="29">
        <v>1</v>
      </c>
      <c r="E79" s="93">
        <v>10574</v>
      </c>
      <c r="F79" s="29" t="s">
        <v>8</v>
      </c>
      <c r="G79" s="29" t="s">
        <v>450</v>
      </c>
      <c r="H79" s="29" t="s">
        <v>55</v>
      </c>
      <c r="I79" s="29"/>
      <c r="J79" s="29">
        <v>8505</v>
      </c>
      <c r="K79" s="32" t="s">
        <v>55</v>
      </c>
      <c r="L79" s="32" t="str">
        <f t="shared" si="0"/>
        <v>172.29.9.67</v>
      </c>
      <c r="M79" s="32">
        <v>38505</v>
      </c>
      <c r="N79" s="32"/>
      <c r="O79" s="32"/>
      <c r="P79" s="32" t="s">
        <v>94</v>
      </c>
      <c r="Q79" s="49" t="s">
        <v>95</v>
      </c>
      <c r="R79" s="3" t="str">
        <f t="shared" si="7"/>
        <v>"14":{"rules":{"1":{"type":"con","dst_persist":"n","src":{"38505":{"raddr":"172.29.9.67:0","mhdr":"BHb2","name":"NODO-01"}},"dst":{"mode":"server","raddr":"192.168.15.10 :0","lport":"8505 BHb2","name":"PEDRALBES_1"},"plugin": {"file":"slb_plugin_rm_biciso.so","type":"RM","args": {"nodrop":"n"}}},</v>
      </c>
    </row>
    <row r="80" spans="1:18">
      <c r="A80" s="30"/>
      <c r="B80" s="7" t="s">
        <v>447</v>
      </c>
      <c r="C80" s="2" t="s">
        <v>497</v>
      </c>
      <c r="D80" s="8">
        <v>2</v>
      </c>
      <c r="E80" s="43">
        <v>10575</v>
      </c>
      <c r="F80" s="8" t="s">
        <v>8</v>
      </c>
      <c r="G80" s="8" t="s">
        <v>450</v>
      </c>
      <c r="H80" s="8" t="s">
        <v>55</v>
      </c>
      <c r="I80" s="8"/>
      <c r="J80" s="8">
        <v>8506</v>
      </c>
      <c r="K80" s="33" t="s">
        <v>55</v>
      </c>
      <c r="L80" s="33" t="str">
        <f t="shared" si="0"/>
        <v>172.29.9.67</v>
      </c>
      <c r="M80" s="33">
        <v>38506</v>
      </c>
      <c r="N80" s="33"/>
      <c r="O80" s="33"/>
      <c r="P80" s="33" t="s">
        <v>94</v>
      </c>
      <c r="Q80" s="34" t="s">
        <v>95</v>
      </c>
      <c r="R80" s="3" t="str">
        <f t="shared" si="7"/>
        <v>"2":{"type":"con","dst_persist":"n","src":{"38506":{"raddr":"172.29.9.67:0","mhdr":"BHb2","name":"NODO-01"}},"dst":{"mode":"server","raddr":"192.168.15.10 :0","lport":"8506 BHb2","name":"PEDRALBES_2"},"plugin": {"file":"slb_plugin_rm_biciso.so","type":"RM","args": {"nodrop":"n"}}},</v>
      </c>
    </row>
    <row r="81" spans="1:18">
      <c r="A81" s="30"/>
      <c r="B81" s="7" t="s">
        <v>448</v>
      </c>
      <c r="C81" s="2" t="s">
        <v>497</v>
      </c>
      <c r="D81" s="8">
        <v>3</v>
      </c>
      <c r="E81" s="43">
        <v>10594</v>
      </c>
      <c r="F81" s="8" t="s">
        <v>14</v>
      </c>
      <c r="G81" s="8"/>
      <c r="H81" s="8" t="s">
        <v>55</v>
      </c>
      <c r="I81" s="8" t="s">
        <v>451</v>
      </c>
      <c r="J81" s="8">
        <v>8505</v>
      </c>
      <c r="K81" s="33" t="s">
        <v>55</v>
      </c>
      <c r="L81" s="33" t="str">
        <f t="shared" si="0"/>
        <v>172.29.9.67</v>
      </c>
      <c r="M81" s="33">
        <v>58505</v>
      </c>
      <c r="N81" s="33"/>
      <c r="O81" s="33"/>
      <c r="P81" s="33" t="s">
        <v>94</v>
      </c>
      <c r="Q81" s="34" t="s">
        <v>95</v>
      </c>
      <c r="R81" s="3" t="str">
        <f t="shared" si="7"/>
        <v>"3":{"type":"con","dst_persist":"n","src":{"58505":{"raddr":"172.29.9.67:0","mhdr":"BHb2","name":"NODO-01"}},"dst":{"mode":"client","raddr":"172.16.4.10  :8505","mhdr":"BHb2","name":"PEDRALBES B24_1"},"plugin": {"file":"slb_plugin_rm_biciso.so","type":"RM","args": {"nodrop":"n"}}},</v>
      </c>
    </row>
    <row r="82" spans="1:18" ht="15" thickBot="1">
      <c r="A82" s="40"/>
      <c r="B82" s="16" t="s">
        <v>449</v>
      </c>
      <c r="C82" s="14" t="s">
        <v>497</v>
      </c>
      <c r="D82" s="17">
        <v>4</v>
      </c>
      <c r="E82" s="44">
        <v>10595</v>
      </c>
      <c r="F82" s="17" t="s">
        <v>14</v>
      </c>
      <c r="G82" s="17"/>
      <c r="H82" s="17" t="s">
        <v>55</v>
      </c>
      <c r="I82" s="17" t="s">
        <v>451</v>
      </c>
      <c r="J82" s="17">
        <v>8506</v>
      </c>
      <c r="K82" s="35" t="s">
        <v>55</v>
      </c>
      <c r="L82" s="35" t="str">
        <f t="shared" si="0"/>
        <v>172.29.9.67</v>
      </c>
      <c r="M82" s="35">
        <v>58506</v>
      </c>
      <c r="N82" s="35"/>
      <c r="O82" s="35"/>
      <c r="P82" s="35" t="s">
        <v>94</v>
      </c>
      <c r="Q82" s="36" t="s">
        <v>96</v>
      </c>
      <c r="R82" s="3" t="str">
        <f t="shared" si="7"/>
        <v>"4":{"type":"con","dst_persist":"n","src":{"58506":{"raddr":"172.29.9.67:0","mhdr":"BHb2","name":"NODO-01"}},"dst":{"mode":"client","raddr":"172.16.4.10  :8506","mhdr":"BHb2","name":"PEDRALBES B24_2"},"plugin": {"file":"slb_plugin_rm_biciso.so","type":"RM","args": {"nodrop":"n"}}}}},</v>
      </c>
    </row>
    <row r="83" spans="1:18">
      <c r="A83" s="9">
        <f>A79+1</f>
        <v>15</v>
      </c>
      <c r="B83" s="10" t="s">
        <v>399</v>
      </c>
      <c r="C83" s="10" t="s">
        <v>497</v>
      </c>
      <c r="D83" s="11">
        <v>1</v>
      </c>
      <c r="E83" s="11">
        <v>8204</v>
      </c>
      <c r="F83" s="11" t="s">
        <v>14</v>
      </c>
      <c r="G83" s="29"/>
      <c r="H83" s="11" t="s">
        <v>55</v>
      </c>
      <c r="I83" s="29" t="s">
        <v>389</v>
      </c>
      <c r="J83" s="11">
        <v>8204</v>
      </c>
      <c r="K83" s="32" t="s">
        <v>55</v>
      </c>
      <c r="L83" s="32" t="str">
        <f t="shared" si="0"/>
        <v>172.29.9.67</v>
      </c>
      <c r="M83" s="32" t="str">
        <f>CONCATENATE(5,J83)</f>
        <v>58204</v>
      </c>
      <c r="N83" s="32"/>
      <c r="O83" s="32"/>
      <c r="P83" s="32" t="s">
        <v>94</v>
      </c>
      <c r="Q83" s="49" t="s">
        <v>95</v>
      </c>
      <c r="R83" s="3" t="str">
        <f t="shared" si="7"/>
        <v>"15":{"rules":{"1":{"type":"con","dst_persist":"n","src":{"58204":{"raddr":"172.29.9.67:0","mhdr":"BHb2","name":"NODO-01"}},"dst":{"mode":"client","raddr":"172.26.38.18:8204","mhdr":"BHb2","name":"Base24-call_N1"},"plugin": {"file":"slb_plugin_rm_biciso.so","type":"RM","args": {"nodrop":"n"}}},</v>
      </c>
    </row>
    <row r="84" spans="1:18" ht="15" thickBot="1">
      <c r="A84" s="40"/>
      <c r="B84" s="14" t="s">
        <v>400</v>
      </c>
      <c r="C84" s="14" t="s">
        <v>497</v>
      </c>
      <c r="D84" s="15">
        <v>2</v>
      </c>
      <c r="E84" s="15">
        <v>8205</v>
      </c>
      <c r="F84" s="15" t="s">
        <v>14</v>
      </c>
      <c r="G84" s="17"/>
      <c r="H84" s="15" t="s">
        <v>55</v>
      </c>
      <c r="I84" s="17" t="s">
        <v>389</v>
      </c>
      <c r="J84" s="15">
        <v>8205</v>
      </c>
      <c r="K84" s="35" t="s">
        <v>55</v>
      </c>
      <c r="L84" s="35" t="str">
        <f t="shared" si="0"/>
        <v>172.29.9.67</v>
      </c>
      <c r="M84" s="35" t="str">
        <f>CONCATENATE(5,J84)</f>
        <v>58205</v>
      </c>
      <c r="N84" s="35"/>
      <c r="O84" s="35"/>
      <c r="P84" s="35" t="s">
        <v>94</v>
      </c>
      <c r="Q84" s="36" t="s">
        <v>96</v>
      </c>
      <c r="R84" s="3" t="str">
        <f t="shared" si="7"/>
        <v>"2":{"type":"con","dst_persist":"n","src":{"58205":{"raddr":"172.29.9.67:0","mhdr":"BHb2","name":"NODO-01"}},"dst":{"mode":"client","raddr":"172.26.38.18:8205","mhdr":"BHb2","name":"Base24-call_N2"},"plugin": {"file":"slb_plugin_rm_biciso.so","type":"RM","args": {"nodrop":"n"}}}}},</v>
      </c>
    </row>
    <row r="85" spans="1:18">
      <c r="A85" s="47">
        <f>A83+1</f>
        <v>16</v>
      </c>
      <c r="B85" s="23" t="s">
        <v>339</v>
      </c>
      <c r="C85" s="23" t="s">
        <v>497</v>
      </c>
      <c r="D85" s="29">
        <v>1</v>
      </c>
      <c r="E85" s="93" t="s">
        <v>344</v>
      </c>
      <c r="F85" s="29" t="s">
        <v>8</v>
      </c>
      <c r="G85" s="29" t="s">
        <v>343</v>
      </c>
      <c r="H85" s="29" t="s">
        <v>55</v>
      </c>
      <c r="I85" s="29"/>
      <c r="J85" s="29">
        <v>8202</v>
      </c>
      <c r="K85" s="32" t="s">
        <v>55</v>
      </c>
      <c r="L85" s="32" t="str">
        <f t="shared" ref="L85:L116" si="8">+$B$3</f>
        <v>172.29.9.67</v>
      </c>
      <c r="M85" s="32">
        <v>38202</v>
      </c>
      <c r="N85" s="32"/>
      <c r="O85" s="32"/>
      <c r="P85" s="32" t="s">
        <v>94</v>
      </c>
      <c r="Q85" s="49" t="s">
        <v>95</v>
      </c>
      <c r="R85" s="3" t="str">
        <f t="shared" si="7"/>
        <v>"16":{"rules":{"1":{"type":"con","dst_persist":"n","src":{"38202":{"raddr":"172.29.9.67:0","mhdr":"BHb2","name":"NODO-01"}},"dst":{"mode":"server","raddr":"172.25.32.8:0","lport":"8202 BHb2","name":"IVR In 1"},"plugin": {"file":"slb_plugin_rm_biciso.so","type":"RM","args": {"nodrop":"n"}}},</v>
      </c>
    </row>
    <row r="86" spans="1:18">
      <c r="A86" s="30"/>
      <c r="B86" s="7" t="s">
        <v>340</v>
      </c>
      <c r="C86" s="7" t="s">
        <v>497</v>
      </c>
      <c r="D86" s="8">
        <v>2</v>
      </c>
      <c r="E86" s="43" t="s">
        <v>345</v>
      </c>
      <c r="F86" s="8" t="s">
        <v>8</v>
      </c>
      <c r="G86" s="8" t="s">
        <v>343</v>
      </c>
      <c r="H86" s="8" t="s">
        <v>55</v>
      </c>
      <c r="I86" s="8"/>
      <c r="J86" s="8">
        <v>8203</v>
      </c>
      <c r="K86" s="33" t="s">
        <v>55</v>
      </c>
      <c r="L86" s="33" t="str">
        <f t="shared" si="8"/>
        <v>172.29.9.67</v>
      </c>
      <c r="M86" s="33">
        <v>38203</v>
      </c>
      <c r="N86" s="33"/>
      <c r="O86" s="33"/>
      <c r="P86" s="33" t="s">
        <v>94</v>
      </c>
      <c r="Q86" s="34" t="s">
        <v>95</v>
      </c>
      <c r="R86" s="3" t="str">
        <f t="shared" si="7"/>
        <v>"2":{"type":"con","dst_persist":"n","src":{"38203":{"raddr":"172.29.9.67:0","mhdr":"BHb2","name":"NODO-01"}},"dst":{"mode":"server","raddr":"172.25.32.8:0","lport":"8203 BHb2","name":"IVR In 2"},"plugin": {"file":"slb_plugin_rm_biciso.so","type":"RM","args": {"nodrop":"n"}}},</v>
      </c>
    </row>
    <row r="87" spans="1:18">
      <c r="A87" s="30"/>
      <c r="B87" s="7" t="s">
        <v>341</v>
      </c>
      <c r="C87" s="7" t="s">
        <v>497</v>
      </c>
      <c r="D87" s="8">
        <v>3</v>
      </c>
      <c r="E87" s="43" t="s">
        <v>346</v>
      </c>
      <c r="F87" s="8" t="s">
        <v>14</v>
      </c>
      <c r="G87" s="8"/>
      <c r="H87" s="8" t="s">
        <v>55</v>
      </c>
      <c r="I87" s="8" t="s">
        <v>389</v>
      </c>
      <c r="J87" s="8">
        <v>8202</v>
      </c>
      <c r="K87" s="33" t="s">
        <v>55</v>
      </c>
      <c r="L87" s="33" t="str">
        <f t="shared" si="8"/>
        <v>172.29.9.67</v>
      </c>
      <c r="M87" s="33">
        <v>58202</v>
      </c>
      <c r="N87" s="33"/>
      <c r="O87" s="33"/>
      <c r="P87" s="33" t="s">
        <v>94</v>
      </c>
      <c r="Q87" s="34" t="s">
        <v>95</v>
      </c>
      <c r="R87" s="3" t="str">
        <f t="shared" si="7"/>
        <v>"3":{"type":"con","dst_persist":"n","src":{"58202":{"raddr":"172.29.9.67:0","mhdr":"BHb2","name":"NODO-01"}},"dst":{"mode":"client","raddr":"172.26.38.18:8202","mhdr":"BHb2","name":"IVR B24 Out 1"},"plugin": {"file":"slb_plugin_rm_biciso.so","type":"RM","args": {"nodrop":"n"}}},</v>
      </c>
    </row>
    <row r="88" spans="1:18" ht="15" thickBot="1">
      <c r="A88" s="40"/>
      <c r="B88" s="16" t="s">
        <v>342</v>
      </c>
      <c r="C88" s="16" t="s">
        <v>497</v>
      </c>
      <c r="D88" s="17">
        <v>4</v>
      </c>
      <c r="E88" s="44" t="s">
        <v>347</v>
      </c>
      <c r="F88" s="17" t="s">
        <v>14</v>
      </c>
      <c r="G88" s="17"/>
      <c r="H88" s="17" t="s">
        <v>55</v>
      </c>
      <c r="I88" s="17" t="s">
        <v>389</v>
      </c>
      <c r="J88" s="17">
        <v>8203</v>
      </c>
      <c r="K88" s="35" t="s">
        <v>55</v>
      </c>
      <c r="L88" s="35" t="str">
        <f t="shared" si="8"/>
        <v>172.29.9.67</v>
      </c>
      <c r="M88" s="35">
        <v>58203</v>
      </c>
      <c r="N88" s="35"/>
      <c r="O88" s="35"/>
      <c r="P88" s="35" t="s">
        <v>94</v>
      </c>
      <c r="Q88" s="36" t="s">
        <v>96</v>
      </c>
      <c r="R88" s="3" t="str">
        <f t="shared" si="7"/>
        <v>"4":{"type":"con","dst_persist":"n","src":{"58203":{"raddr":"172.29.9.67:0","mhdr":"BHb2","name":"NODO-01"}},"dst":{"mode":"client","raddr":"172.26.38.18:8203","mhdr":"BHb2","name":"IVR B24 Out 2"},"plugin": {"file":"slb_plugin_rm_biciso.so","type":"RM","args": {"nodrop":"n"}}}}},</v>
      </c>
    </row>
    <row r="89" spans="1:18">
      <c r="A89" s="92">
        <f>A85+1</f>
        <v>17</v>
      </c>
      <c r="B89" s="23" t="s">
        <v>127</v>
      </c>
      <c r="C89" s="23" t="str">
        <f>IF(C261="S","N","S")</f>
        <v>S</v>
      </c>
      <c r="D89" s="29">
        <v>1</v>
      </c>
      <c r="E89" s="93" t="s">
        <v>493</v>
      </c>
      <c r="F89" s="29" t="s">
        <v>14</v>
      </c>
      <c r="G89" s="29"/>
      <c r="H89" s="29" t="s">
        <v>437</v>
      </c>
      <c r="I89" s="29" t="s">
        <v>13</v>
      </c>
      <c r="J89" s="29">
        <v>3074</v>
      </c>
      <c r="K89" s="32" t="s">
        <v>437</v>
      </c>
      <c r="L89" s="32" t="str">
        <f t="shared" si="8"/>
        <v>172.29.9.67</v>
      </c>
      <c r="M89" s="32">
        <v>53074</v>
      </c>
      <c r="N89" s="32"/>
      <c r="O89" s="32"/>
      <c r="P89" s="32" t="s">
        <v>94</v>
      </c>
      <c r="Q89" s="49" t="s">
        <v>95</v>
      </c>
      <c r="R89" s="3" t="str">
        <f t="shared" si="7"/>
        <v>"17":{"rules":{"1":{"type":"con","dst_persist":"n","src":{"53074":{"raddr":"172.29.9.67:0","mhdr":"iBHb2","name":"NODO-01"}},"dst":{"mode":"client","raddr":"172.19.207.40:3074","mhdr":"iBHb2","name":"Red ATM ATH out 1"},"plugin": {"file":"slb_plugin_rm_biciso.so","type":"RM","args": {"nodrop":"n"}}},</v>
      </c>
    </row>
    <row r="90" spans="1:18">
      <c r="A90" s="63"/>
      <c r="B90" s="7" t="s">
        <v>77</v>
      </c>
      <c r="C90" s="7" t="str">
        <f>IF(C262="S","N","S")</f>
        <v>S</v>
      </c>
      <c r="D90" s="8">
        <v>2</v>
      </c>
      <c r="E90" s="43" t="s">
        <v>491</v>
      </c>
      <c r="F90" s="8" t="s">
        <v>8</v>
      </c>
      <c r="G90" s="8" t="s">
        <v>76</v>
      </c>
      <c r="H90" s="8" t="s">
        <v>437</v>
      </c>
      <c r="I90" s="2"/>
      <c r="J90" s="8">
        <v>3074</v>
      </c>
      <c r="K90" s="33" t="s">
        <v>437</v>
      </c>
      <c r="L90" s="33" t="str">
        <f t="shared" si="8"/>
        <v>172.29.9.67</v>
      </c>
      <c r="M90" s="33">
        <v>33074</v>
      </c>
      <c r="N90" s="33"/>
      <c r="O90" s="33"/>
      <c r="P90" s="33" t="s">
        <v>94</v>
      </c>
      <c r="Q90" s="34" t="s">
        <v>95</v>
      </c>
      <c r="R90" s="3" t="str">
        <f t="shared" si="7"/>
        <v>"2":{"type":"con","dst_persist":"n","src":{"33074":{"raddr":"172.29.9.67:0","mhdr":"iBHb2","name":"NODO-01"}},"dst":{"mode":"server","raddr":"10.2.74.21:0","lport":"3074 iBHb2","name":"Red ATM ATH in 1"},"plugin": {"file":"slb_plugin_rm_biciso.so","type":"RM","args": {"nodrop":"n"}}},</v>
      </c>
    </row>
    <row r="91" spans="1:18">
      <c r="A91" s="63"/>
      <c r="B91" s="7" t="s">
        <v>128</v>
      </c>
      <c r="C91" s="7" t="str">
        <f>IF(C263="S","N","S")</f>
        <v>S</v>
      </c>
      <c r="D91" s="8">
        <v>3</v>
      </c>
      <c r="E91" s="43" t="s">
        <v>494</v>
      </c>
      <c r="F91" s="8" t="s">
        <v>14</v>
      </c>
      <c r="G91" s="8"/>
      <c r="H91" s="8" t="s">
        <v>437</v>
      </c>
      <c r="I91" s="8" t="s">
        <v>13</v>
      </c>
      <c r="J91" s="8">
        <v>2074</v>
      </c>
      <c r="K91" s="33" t="s">
        <v>437</v>
      </c>
      <c r="L91" s="33" t="str">
        <f t="shared" si="8"/>
        <v>172.29.9.67</v>
      </c>
      <c r="M91" s="33">
        <v>52074</v>
      </c>
      <c r="N91" s="33"/>
      <c r="O91" s="33"/>
      <c r="P91" s="33" t="s">
        <v>94</v>
      </c>
      <c r="Q91" s="34" t="s">
        <v>95</v>
      </c>
      <c r="R91" s="3" t="str">
        <f t="shared" si="7"/>
        <v>"3":{"type":"con","dst_persist":"n","src":{"52074":{"raddr":"172.29.9.67:0","mhdr":"iBHb2","name":"NODO-01"}},"dst":{"mode":"client","raddr":"172.19.207.40:2074","mhdr":"iBHb2","name":"Red ATM ATH out 2"},"plugin": {"file":"slb_plugin_rm_biciso.so","type":"RM","args": {"nodrop":"n"}}},</v>
      </c>
    </row>
    <row r="92" spans="1:18" ht="15" thickBot="1">
      <c r="A92" s="64"/>
      <c r="B92" s="16" t="s">
        <v>77</v>
      </c>
      <c r="C92" s="16" t="str">
        <f>IF(C264="S","N","S")</f>
        <v>S</v>
      </c>
      <c r="D92" s="17">
        <v>4</v>
      </c>
      <c r="E92" s="44" t="s">
        <v>492</v>
      </c>
      <c r="F92" s="17" t="s">
        <v>8</v>
      </c>
      <c r="G92" s="17" t="s">
        <v>76</v>
      </c>
      <c r="H92" s="17" t="s">
        <v>437</v>
      </c>
      <c r="I92" s="14"/>
      <c r="J92" s="17">
        <v>2074</v>
      </c>
      <c r="K92" s="35" t="s">
        <v>437</v>
      </c>
      <c r="L92" s="35" t="str">
        <f t="shared" si="8"/>
        <v>172.29.9.67</v>
      </c>
      <c r="M92" s="35">
        <v>32074</v>
      </c>
      <c r="N92" s="35"/>
      <c r="O92" s="35"/>
      <c r="P92" s="35" t="s">
        <v>94</v>
      </c>
      <c r="Q92" s="36" t="s">
        <v>96</v>
      </c>
      <c r="R92" s="3" t="str">
        <f t="shared" si="7"/>
        <v>"4":{"type":"con","dst_persist":"n","src":{"32074":{"raddr":"172.29.9.67:0","mhdr":"iBHb2","name":"NODO-01"}},"dst":{"mode":"server","raddr":"10.2.74.21:0","lport":"2074 iBHb2","name":"Red ATM ATH in 1"},"plugin": {"file":"slb_plugin_rm_biciso.so","type":"RM","args": {"nodrop":"n"}}}}},</v>
      </c>
    </row>
    <row r="93" spans="1:18">
      <c r="A93" s="47">
        <f>A89+1</f>
        <v>18</v>
      </c>
      <c r="B93" s="23" t="s">
        <v>117</v>
      </c>
      <c r="C93" s="23" t="s">
        <v>497</v>
      </c>
      <c r="D93" s="29">
        <v>1</v>
      </c>
      <c r="E93" s="93" t="s">
        <v>475</v>
      </c>
      <c r="F93" s="29" t="s">
        <v>8</v>
      </c>
      <c r="G93" s="29" t="s">
        <v>121</v>
      </c>
      <c r="H93" s="29" t="s">
        <v>55</v>
      </c>
      <c r="I93" s="29"/>
      <c r="J93" s="29">
        <v>2049</v>
      </c>
      <c r="K93" s="32" t="s">
        <v>55</v>
      </c>
      <c r="L93" s="32" t="str">
        <f t="shared" si="8"/>
        <v>172.29.9.67</v>
      </c>
      <c r="M93" s="32">
        <v>32049</v>
      </c>
      <c r="N93" s="32"/>
      <c r="O93" s="32"/>
      <c r="P93" s="32" t="s">
        <v>94</v>
      </c>
      <c r="Q93" s="49" t="s">
        <v>95</v>
      </c>
      <c r="R93" s="3" t="str">
        <f t="shared" si="7"/>
        <v>"18":{"rules":{"1":{"type":"con","dst_persist":"n","src":{"32049":{"raddr":"172.29.9.67:0","mhdr":"BHb2","name":"NODO-01"}},"dst":{"mode":"server","raddr":"10.2.4.19:0","lport":"2049 BHb2","name":"juriscoop CR 1"},"plugin": {"file":"slb_plugin_rm_biciso.so","type":"RM","args": {"nodrop":"n"}}},</v>
      </c>
    </row>
    <row r="94" spans="1:18">
      <c r="A94" s="30"/>
      <c r="B94" s="7" t="s">
        <v>118</v>
      </c>
      <c r="C94" s="7" t="s">
        <v>497</v>
      </c>
      <c r="D94" s="8">
        <v>2</v>
      </c>
      <c r="E94" s="43" t="s">
        <v>476</v>
      </c>
      <c r="F94" s="8" t="s">
        <v>8</v>
      </c>
      <c r="G94" s="8" t="s">
        <v>121</v>
      </c>
      <c r="H94" s="8" t="s">
        <v>55</v>
      </c>
      <c r="I94" s="8"/>
      <c r="J94" s="8">
        <v>3049</v>
      </c>
      <c r="K94" s="33" t="s">
        <v>55</v>
      </c>
      <c r="L94" s="33" t="str">
        <f t="shared" si="8"/>
        <v>172.29.9.67</v>
      </c>
      <c r="M94" s="33">
        <v>33049</v>
      </c>
      <c r="N94" s="33"/>
      <c r="O94" s="33"/>
      <c r="P94" s="33" t="s">
        <v>94</v>
      </c>
      <c r="Q94" s="34" t="s">
        <v>95</v>
      </c>
      <c r="R94" s="3" t="str">
        <f t="shared" si="7"/>
        <v>"2":{"type":"con","dst_persist":"n","src":{"33049":{"raddr":"172.29.9.67:0","mhdr":"BHb2","name":"NODO-01"}},"dst":{"mode":"server","raddr":"10.2.4.19:0","lport":"3049 BHb2","name":"juriscoop CR 2"},"plugin": {"file":"slb_plugin_rm_biciso.so","type":"RM","args": {"nodrop":"n"}}},</v>
      </c>
    </row>
    <row r="95" spans="1:18">
      <c r="A95" s="30"/>
      <c r="B95" s="7" t="s">
        <v>119</v>
      </c>
      <c r="C95" s="7" t="s">
        <v>497</v>
      </c>
      <c r="D95" s="8">
        <v>3</v>
      </c>
      <c r="E95" s="43" t="s">
        <v>477</v>
      </c>
      <c r="F95" s="8" t="s">
        <v>8</v>
      </c>
      <c r="G95" s="8" t="s">
        <v>121</v>
      </c>
      <c r="H95" s="8" t="s">
        <v>55</v>
      </c>
      <c r="I95" s="8"/>
      <c r="J95" s="8">
        <v>2949</v>
      </c>
      <c r="K95" s="33" t="s">
        <v>55</v>
      </c>
      <c r="L95" s="33" t="str">
        <f t="shared" si="8"/>
        <v>172.29.9.67</v>
      </c>
      <c r="M95" s="33">
        <v>32949</v>
      </c>
      <c r="N95" s="33"/>
      <c r="O95" s="33"/>
      <c r="P95" s="33" t="s">
        <v>94</v>
      </c>
      <c r="Q95" s="34" t="s">
        <v>95</v>
      </c>
      <c r="R95" s="3" t="str">
        <f t="shared" si="7"/>
        <v>"3":{"type":"con","dst_persist":"n","src":{"32949":{"raddr":"172.29.9.67:0","mhdr":"BHb2","name":"NODO-01"}},"dst":{"mode":"server","raddr":"10.2.4.19:0","lport":"2949 BHb2","name":"juriscoop DR 1"},"plugin": {"file":"slb_plugin_rm_biciso.so","type":"RM","args": {"nodrop":"n"}}},</v>
      </c>
    </row>
    <row r="96" spans="1:18" ht="15" thickBot="1">
      <c r="A96" s="40"/>
      <c r="B96" s="16" t="s">
        <v>120</v>
      </c>
      <c r="C96" s="16" t="s">
        <v>497</v>
      </c>
      <c r="D96" s="17">
        <v>4</v>
      </c>
      <c r="E96" s="44" t="s">
        <v>478</v>
      </c>
      <c r="F96" s="17" t="s">
        <v>8</v>
      </c>
      <c r="G96" s="17" t="s">
        <v>121</v>
      </c>
      <c r="H96" s="17" t="s">
        <v>55</v>
      </c>
      <c r="I96" s="17"/>
      <c r="J96" s="17">
        <v>3949</v>
      </c>
      <c r="K96" s="35" t="s">
        <v>55</v>
      </c>
      <c r="L96" s="35" t="str">
        <f t="shared" si="8"/>
        <v>172.29.9.67</v>
      </c>
      <c r="M96" s="35">
        <v>33949</v>
      </c>
      <c r="N96" s="35"/>
      <c r="O96" s="35"/>
      <c r="P96" s="35" t="s">
        <v>94</v>
      </c>
      <c r="Q96" s="36" t="s">
        <v>96</v>
      </c>
      <c r="R96" s="3" t="str">
        <f t="shared" si="7"/>
        <v>"4":{"type":"con","dst_persist":"n","src":{"33949":{"raddr":"172.29.9.67:0","mhdr":"BHb2","name":"NODO-01"}},"dst":{"mode":"server","raddr":"10.2.4.19:0","lport":"3949 BHb2","name":"juriscoop DR 2"},"plugin": {"file":"slb_plugin_rm_biciso.so","type":"RM","args": {"nodrop":"n"}}}}},</v>
      </c>
    </row>
    <row r="97" spans="1:18">
      <c r="A97" s="92">
        <v>21</v>
      </c>
      <c r="B97" s="23" t="s">
        <v>193</v>
      </c>
      <c r="C97" s="23" t="str">
        <f>IF(C277="S","N","S")</f>
        <v>N</v>
      </c>
      <c r="D97" s="29">
        <v>1</v>
      </c>
      <c r="E97" s="29">
        <v>10007</v>
      </c>
      <c r="F97" s="29" t="s">
        <v>8</v>
      </c>
      <c r="G97" s="29" t="s">
        <v>197</v>
      </c>
      <c r="H97" s="29" t="s">
        <v>55</v>
      </c>
      <c r="I97" s="29"/>
      <c r="J97" s="29">
        <v>8084</v>
      </c>
      <c r="K97" s="32" t="s">
        <v>55</v>
      </c>
      <c r="L97" s="32" t="str">
        <f t="shared" si="8"/>
        <v>172.29.9.67</v>
      </c>
      <c r="M97" s="32">
        <v>38084</v>
      </c>
      <c r="N97" s="32"/>
      <c r="O97" s="32"/>
      <c r="P97" s="32" t="s">
        <v>94</v>
      </c>
      <c r="Q97" s="49" t="s">
        <v>95</v>
      </c>
      <c r="R97" s="3" t="str">
        <f t="shared" si="7"/>
        <v/>
      </c>
    </row>
    <row r="98" spans="1:18" ht="15" thickBot="1">
      <c r="A98" s="64"/>
      <c r="B98" s="16" t="s">
        <v>195</v>
      </c>
      <c r="C98" s="16" t="str">
        <f>IF(C279="S","N","S")</f>
        <v>N</v>
      </c>
      <c r="D98" s="17">
        <v>2</v>
      </c>
      <c r="E98" s="17">
        <v>10017</v>
      </c>
      <c r="F98" s="17" t="s">
        <v>8</v>
      </c>
      <c r="G98" s="14"/>
      <c r="H98" s="17" t="s">
        <v>55</v>
      </c>
      <c r="I98" s="17" t="s">
        <v>13</v>
      </c>
      <c r="J98" s="17">
        <v>8084</v>
      </c>
      <c r="K98" s="35" t="s">
        <v>55</v>
      </c>
      <c r="L98" s="35" t="str">
        <f t="shared" si="8"/>
        <v>172.29.9.67</v>
      </c>
      <c r="M98" s="35">
        <v>58084</v>
      </c>
      <c r="N98" s="35"/>
      <c r="O98" s="35"/>
      <c r="P98" s="35" t="s">
        <v>94</v>
      </c>
      <c r="Q98" s="36" t="s">
        <v>96</v>
      </c>
      <c r="R98" s="3" t="str">
        <f t="shared" si="7"/>
        <v/>
      </c>
    </row>
    <row r="99" spans="1:18">
      <c r="A99" s="92">
        <f>A97+1</f>
        <v>22</v>
      </c>
      <c r="B99" s="23" t="s">
        <v>112</v>
      </c>
      <c r="C99" s="23" t="str">
        <f>IF(C281="S","N","S")</f>
        <v>S</v>
      </c>
      <c r="D99" s="29">
        <v>1</v>
      </c>
      <c r="E99" s="93" t="s">
        <v>391</v>
      </c>
      <c r="F99" s="29" t="s">
        <v>8</v>
      </c>
      <c r="G99" s="29" t="s">
        <v>116</v>
      </c>
      <c r="H99" s="29" t="s">
        <v>437</v>
      </c>
      <c r="I99" s="29"/>
      <c r="J99" s="29">
        <v>2214</v>
      </c>
      <c r="K99" s="32" t="s">
        <v>437</v>
      </c>
      <c r="L99" s="32" t="str">
        <f t="shared" si="8"/>
        <v>172.29.9.67</v>
      </c>
      <c r="M99" s="32">
        <v>32214</v>
      </c>
      <c r="N99" s="32"/>
      <c r="O99" s="32"/>
      <c r="P99" s="32" t="s">
        <v>94</v>
      </c>
      <c r="Q99" s="49" t="s">
        <v>95</v>
      </c>
      <c r="R99" s="3" t="str">
        <f t="shared" si="7"/>
        <v>"22":{"rules":{"1":{"type":"con","dst_persist":"n","src":{"32214":{"raddr":"172.29.9.67:0","mhdr":"iBHb2","name":"NODO-01"}},"dst":{"mode":"server","raddr":"10.2.14.21:0","lport":"2214 iBHb2","name":"Itau In 1"},"plugin": {"file":"slb_plugin_rm_biciso.so","type":"RM","args": {"nodrop":"n"}}},</v>
      </c>
    </row>
    <row r="100" spans="1:18">
      <c r="A100" s="63"/>
      <c r="B100" s="7" t="s">
        <v>113</v>
      </c>
      <c r="C100" s="7" t="str">
        <f>IF(C283="S","N","S")</f>
        <v>S</v>
      </c>
      <c r="D100" s="8">
        <v>2</v>
      </c>
      <c r="E100" s="43" t="s">
        <v>390</v>
      </c>
      <c r="F100" s="8" t="s">
        <v>8</v>
      </c>
      <c r="G100" s="8" t="s">
        <v>116</v>
      </c>
      <c r="H100" s="8" t="s">
        <v>437</v>
      </c>
      <c r="I100" s="8"/>
      <c r="J100" s="8">
        <v>3214</v>
      </c>
      <c r="K100" s="33" t="s">
        <v>437</v>
      </c>
      <c r="L100" s="33" t="str">
        <f t="shared" si="8"/>
        <v>172.29.9.67</v>
      </c>
      <c r="M100" s="33">
        <v>33214</v>
      </c>
      <c r="N100" s="33"/>
      <c r="O100" s="33"/>
      <c r="P100" s="33" t="s">
        <v>94</v>
      </c>
      <c r="Q100" s="34" t="s">
        <v>95</v>
      </c>
      <c r="R100" s="3" t="str">
        <f t="shared" si="7"/>
        <v>"2":{"type":"con","dst_persist":"n","src":{"33214":{"raddr":"172.29.9.67:0","mhdr":"iBHb2","name":"NODO-01"}},"dst":{"mode":"server","raddr":"10.2.14.21:0","lport":"3214 iBHb2","name":"Itau In 2"},"plugin": {"file":"slb_plugin_rm_biciso.so","type":"RM","args": {"nodrop":"n"}}},</v>
      </c>
    </row>
    <row r="101" spans="1:18">
      <c r="A101" s="63"/>
      <c r="B101" s="7" t="s">
        <v>114</v>
      </c>
      <c r="C101" s="7" t="str">
        <f>IF(C282="S","N","S")</f>
        <v>S</v>
      </c>
      <c r="D101" s="8">
        <v>3</v>
      </c>
      <c r="E101" s="43" t="s">
        <v>392</v>
      </c>
      <c r="F101" s="8" t="s">
        <v>14</v>
      </c>
      <c r="G101" s="8"/>
      <c r="H101" s="8" t="s">
        <v>437</v>
      </c>
      <c r="I101" s="8" t="s">
        <v>13</v>
      </c>
      <c r="J101" s="8">
        <v>2214</v>
      </c>
      <c r="K101" s="33" t="s">
        <v>437</v>
      </c>
      <c r="L101" s="33" t="str">
        <f t="shared" si="8"/>
        <v>172.29.9.67</v>
      </c>
      <c r="M101" s="33">
        <v>52214</v>
      </c>
      <c r="N101" s="33"/>
      <c r="O101" s="33"/>
      <c r="P101" s="33" t="s">
        <v>94</v>
      </c>
      <c r="Q101" s="34" t="s">
        <v>95</v>
      </c>
      <c r="R101" s="3" t="str">
        <f t="shared" si="7"/>
        <v>"3":{"type":"con","dst_persist":"n","src":{"52214":{"raddr":"172.29.9.67:0","mhdr":"iBHb2","name":"NODO-01"}},"dst":{"mode":"client","raddr":"172.19.207.40:2214","mhdr":"iBHb2","name":"Itau Out 1"},"plugin": {"file":"slb_plugin_rm_biciso.so","type":"RM","args": {"nodrop":"n"}}},</v>
      </c>
    </row>
    <row r="102" spans="1:18" ht="15" thickBot="1">
      <c r="A102" s="64"/>
      <c r="B102" s="16" t="s">
        <v>115</v>
      </c>
      <c r="C102" s="16" t="str">
        <f>IF(C284="S","N","S")</f>
        <v>S</v>
      </c>
      <c r="D102" s="17">
        <v>4</v>
      </c>
      <c r="E102" s="44" t="s">
        <v>393</v>
      </c>
      <c r="F102" s="17" t="s">
        <v>14</v>
      </c>
      <c r="G102" s="17"/>
      <c r="H102" s="17" t="s">
        <v>437</v>
      </c>
      <c r="I102" s="17" t="s">
        <v>13</v>
      </c>
      <c r="J102" s="17">
        <v>3214</v>
      </c>
      <c r="K102" s="35" t="s">
        <v>437</v>
      </c>
      <c r="L102" s="35" t="str">
        <f t="shared" si="8"/>
        <v>172.29.9.67</v>
      </c>
      <c r="M102" s="35">
        <v>53214</v>
      </c>
      <c r="N102" s="35"/>
      <c r="O102" s="35"/>
      <c r="P102" s="35" t="s">
        <v>94</v>
      </c>
      <c r="Q102" s="36" t="s">
        <v>96</v>
      </c>
      <c r="R102" s="3" t="str">
        <f t="shared" si="7"/>
        <v>"4":{"type":"con","dst_persist":"n","src":{"53214":{"raddr":"172.29.9.67:0","mhdr":"iBHb2","name":"NODO-01"}},"dst":{"mode":"client","raddr":"172.19.207.40:3214","mhdr":"iBHb2","name":"Itau Out 2"},"plugin": {"file":"slb_plugin_rm_biciso.so","type":"RM","args": {"nodrop":"n"}}}}},</v>
      </c>
    </row>
    <row r="103" spans="1:18" ht="15" thickBot="1">
      <c r="A103" s="102">
        <v>23</v>
      </c>
      <c r="B103" s="103" t="s">
        <v>441</v>
      </c>
      <c r="C103" s="103" t="s">
        <v>496</v>
      </c>
      <c r="D103" s="104">
        <v>1</v>
      </c>
      <c r="E103" s="104">
        <v>219</v>
      </c>
      <c r="F103" s="104" t="s">
        <v>8</v>
      </c>
      <c r="G103" s="104"/>
      <c r="H103" s="104" t="s">
        <v>437</v>
      </c>
      <c r="I103" s="104" t="str">
        <f>$B$3</f>
        <v>172.29.9.67</v>
      </c>
      <c r="J103" s="104">
        <v>35219</v>
      </c>
      <c r="K103" s="105" t="s">
        <v>437</v>
      </c>
      <c r="L103" s="105" t="s">
        <v>13</v>
      </c>
      <c r="M103" s="105">
        <v>5218</v>
      </c>
      <c r="N103" s="105" t="s">
        <v>13</v>
      </c>
      <c r="O103" s="105">
        <v>5219</v>
      </c>
      <c r="P103" s="105" t="s">
        <v>94</v>
      </c>
      <c r="Q103" s="106" t="s">
        <v>96</v>
      </c>
      <c r="R103" s="83" t="str">
        <f>CONCATENATE(IF(A103&lt;&gt;"",CONCATENATE("""",A103,"""",":{","""","rules","""",":{"),""),"""",D103,""":{""type"":""con"",""dst_persist"":""n"",""src"":{""",L103,":",M103,""":{""mhdr"":""",K103,""",","""name""",":","""PRM B24 5218 NODO-01","""},""",N103,":",O103,""":{""mhdr"":""",K103,""",","""name""",":","""PRM B24 5219 NODO-01","""}},","""dst"":{""mode"":""",F103,""",""raddr"":""",IF(F103="server",I103,G103),":",IF(F103="server",0,J103),""",""",IF(F103="server","lport","mhdr"),""":""",IF(F103="server",J103,""),IF(F103="server"," ",""),H103,""",","""name""",":","""",B103,IF(P103&lt;&gt;"",CONCATENATE("""},","""plugin""",": {","""file""",":""",P103,""",","""type""",":","""","RM""",",","""args""",": {","""nodrop""",":","""n""","}")),Q103)</f>
        <v>"23":{"rules":{"1":{"type":"con","dst_persist":"n","src":{"172.19.207.40:5218":{"mhdr":"iBHb2","name":"PRM B24 5218 NODO-01"},"172.19.207.40:5219":{"mhdr":"iBHb2","name":"PRM B24 5219 NODO-01"}},"dst":{"mode":"server","raddr":"172.29.9.67:0","lport":"35219 iBHb2","name":"PRM_SVFE_N1 35219"},"plugin": {"file":"slb_plugin_rm_biciso.so","type":"RM","args": {"nodrop":"n"}}}}},</v>
      </c>
    </row>
    <row r="104" spans="1:18" ht="15" thickBot="1">
      <c r="A104" s="92">
        <f>A103+1</f>
        <v>24</v>
      </c>
      <c r="B104" s="23" t="s">
        <v>97</v>
      </c>
      <c r="C104" s="23" t="str">
        <f>IF(C287="S","N","S")</f>
        <v>N</v>
      </c>
      <c r="D104" s="29">
        <v>1</v>
      </c>
      <c r="E104" s="93" t="s">
        <v>368</v>
      </c>
      <c r="F104" s="29" t="s">
        <v>8</v>
      </c>
      <c r="G104" s="29" t="s">
        <v>99</v>
      </c>
      <c r="H104" s="29" t="s">
        <v>55</v>
      </c>
      <c r="I104" s="29"/>
      <c r="J104" s="29">
        <v>1152</v>
      </c>
      <c r="K104" s="32" t="s">
        <v>55</v>
      </c>
      <c r="L104" s="32" t="str">
        <f t="shared" si="6"/>
        <v>172.29.9.67</v>
      </c>
      <c r="M104" s="32">
        <v>31152</v>
      </c>
      <c r="N104" s="32"/>
      <c r="O104" s="32"/>
      <c r="P104" s="105" t="s">
        <v>94</v>
      </c>
      <c r="Q104" s="49" t="s">
        <v>95</v>
      </c>
      <c r="R104" s="3" t="str">
        <f t="shared" ref="R104:R167" si="9">IF(C104="S",CONCATENATE(IF(A104&lt;&gt;"",CONCATENATE("""",A104,"""",":{","""","rules","""",":{"),""),"""",D104,""":{""type"":""con"",""dst_persist"":""n"",""src"":{""",M104,""":{""raddr"":""",L104,":0"",""mhdr"":""",K104,""",","""name""",":","""NODO-01","""}},","""dst"":{""mode"":""",F104,""",""raddr"":""",IF(F104="server",G104,I104),":",IF(F104="server",0,J104),""",""",IF(F104="server","lport","mhdr"),""":""",IF(F104="server",J104,""),IF(F104="server"," ",""),H104,""",","""name""",":","""",B104,IF(P104&lt;&gt;"",CONCATENATE("""},","""plugin""",": {","""file""",":""",P104,""",","""type""",":","""","RM""",",","""args""",": {","""nodrop""",":","""n""","}")),Q104),"")</f>
        <v/>
      </c>
    </row>
    <row r="105" spans="1:18" ht="15" thickBot="1">
      <c r="A105" s="64"/>
      <c r="B105" s="16" t="s">
        <v>98</v>
      </c>
      <c r="C105" s="16" t="str">
        <f>IF(C288="S","N","S")</f>
        <v>N</v>
      </c>
      <c r="D105" s="17">
        <v>2</v>
      </c>
      <c r="E105" s="44" t="s">
        <v>369</v>
      </c>
      <c r="F105" s="17" t="s">
        <v>8</v>
      </c>
      <c r="G105" s="17" t="s">
        <v>99</v>
      </c>
      <c r="H105" s="17" t="s">
        <v>55</v>
      </c>
      <c r="I105" s="17"/>
      <c r="J105" s="17">
        <v>2152</v>
      </c>
      <c r="K105" s="35" t="s">
        <v>55</v>
      </c>
      <c r="L105" s="35" t="str">
        <f t="shared" si="6"/>
        <v>172.29.9.67</v>
      </c>
      <c r="M105" s="35">
        <v>32152</v>
      </c>
      <c r="N105" s="35"/>
      <c r="O105" s="35"/>
      <c r="P105" s="105" t="s">
        <v>94</v>
      </c>
      <c r="Q105" s="36" t="s">
        <v>96</v>
      </c>
      <c r="R105" s="3" t="str">
        <f t="shared" si="9"/>
        <v/>
      </c>
    </row>
    <row r="106" spans="1:18">
      <c r="A106" s="92">
        <f>A104+1</f>
        <v>25</v>
      </c>
      <c r="B106" s="23" t="s">
        <v>131</v>
      </c>
      <c r="C106" s="23" t="str">
        <f t="shared" ref="C106" si="10">IF(C289="S","N","S")</f>
        <v>N</v>
      </c>
      <c r="D106" s="29">
        <v>1</v>
      </c>
      <c r="E106" s="29">
        <v>11401</v>
      </c>
      <c r="F106" s="29" t="s">
        <v>8</v>
      </c>
      <c r="G106" s="29" t="s">
        <v>76</v>
      </c>
      <c r="H106" s="29" t="s">
        <v>55</v>
      </c>
      <c r="I106" s="29"/>
      <c r="J106" s="29">
        <v>5523</v>
      </c>
      <c r="K106" s="32" t="s">
        <v>55</v>
      </c>
      <c r="L106" s="32" t="str">
        <f t="shared" si="6"/>
        <v>172.29.9.67</v>
      </c>
      <c r="M106" s="32">
        <v>35523</v>
      </c>
      <c r="N106" s="32"/>
      <c r="O106" s="32"/>
      <c r="P106" s="32" t="s">
        <v>94</v>
      </c>
      <c r="Q106" s="49" t="s">
        <v>95</v>
      </c>
      <c r="R106" s="3" t="str">
        <f t="shared" si="9"/>
        <v/>
      </c>
    </row>
    <row r="107" spans="1:18">
      <c r="A107" s="63"/>
      <c r="B107" s="7" t="s">
        <v>132</v>
      </c>
      <c r="C107" s="7" t="str">
        <f>IF(C291="S","N","S")</f>
        <v>N</v>
      </c>
      <c r="D107" s="8">
        <v>2</v>
      </c>
      <c r="E107" s="8">
        <v>11402</v>
      </c>
      <c r="F107" s="8" t="s">
        <v>8</v>
      </c>
      <c r="G107" s="8" t="s">
        <v>76</v>
      </c>
      <c r="H107" s="8" t="s">
        <v>55</v>
      </c>
      <c r="I107" s="8"/>
      <c r="J107" s="8">
        <v>6623</v>
      </c>
      <c r="K107" s="33" t="s">
        <v>55</v>
      </c>
      <c r="L107" s="33" t="str">
        <f t="shared" si="6"/>
        <v>172.29.9.67</v>
      </c>
      <c r="M107" s="33">
        <v>36623</v>
      </c>
      <c r="N107" s="33"/>
      <c r="O107" s="33"/>
      <c r="P107" s="33" t="s">
        <v>94</v>
      </c>
      <c r="Q107" s="34" t="s">
        <v>95</v>
      </c>
      <c r="R107" s="3" t="str">
        <f t="shared" si="9"/>
        <v/>
      </c>
    </row>
    <row r="108" spans="1:18" ht="13" customHeight="1">
      <c r="A108" s="80">
        <f>A104+1</f>
        <v>25</v>
      </c>
      <c r="B108" s="7" t="s">
        <v>438</v>
      </c>
      <c r="C108" s="7" t="s">
        <v>497</v>
      </c>
      <c r="D108" s="8">
        <v>1</v>
      </c>
      <c r="E108" s="8">
        <v>11413</v>
      </c>
      <c r="F108" s="8" t="s">
        <v>8</v>
      </c>
      <c r="G108" s="8" t="s">
        <v>99</v>
      </c>
      <c r="H108" s="8" t="s">
        <v>55</v>
      </c>
      <c r="I108" s="8"/>
      <c r="J108" s="8">
        <v>2723</v>
      </c>
      <c r="K108" s="33" t="s">
        <v>55</v>
      </c>
      <c r="L108" s="33" t="str">
        <f t="shared" si="6"/>
        <v>172.29.9.67</v>
      </c>
      <c r="M108" s="33">
        <v>32723</v>
      </c>
      <c r="N108" s="33"/>
      <c r="O108" s="33"/>
      <c r="P108" s="33" t="s">
        <v>94</v>
      </c>
      <c r="Q108" s="34" t="s">
        <v>95</v>
      </c>
      <c r="R108" s="3" t="str">
        <f t="shared" si="9"/>
        <v>"25":{"rules":{"1":{"type":"con","dst_persist":"n","src":{"32723":{"raddr":"172.29.9.67:0","mhdr":"BHb2","name":"NODO-01"}},"dst":{"mode":"server","raddr":"172.16.27.253:0","lport":"2723 BHb2","name":"Occi P2C^HISO6023 1"},"plugin": {"file":"slb_plugin_rm_biciso.so","type":"RM","args": {"nodrop":"n"}}},</v>
      </c>
    </row>
    <row r="109" spans="1:18" ht="15" thickBot="1">
      <c r="A109" s="65"/>
      <c r="B109" s="16" t="s">
        <v>439</v>
      </c>
      <c r="C109" s="16" t="s">
        <v>497</v>
      </c>
      <c r="D109" s="17">
        <v>2</v>
      </c>
      <c r="E109" s="17">
        <v>11414</v>
      </c>
      <c r="F109" s="17" t="s">
        <v>8</v>
      </c>
      <c r="G109" s="17" t="s">
        <v>99</v>
      </c>
      <c r="H109" s="17" t="s">
        <v>55</v>
      </c>
      <c r="I109" s="17"/>
      <c r="J109" s="17">
        <v>3723</v>
      </c>
      <c r="K109" s="35" t="s">
        <v>55</v>
      </c>
      <c r="L109" s="35" t="str">
        <f t="shared" si="6"/>
        <v>172.29.9.67</v>
      </c>
      <c r="M109" s="35">
        <v>33723</v>
      </c>
      <c r="N109" s="35"/>
      <c r="O109" s="35"/>
      <c r="P109" s="35" t="s">
        <v>94</v>
      </c>
      <c r="Q109" s="36" t="s">
        <v>96</v>
      </c>
      <c r="R109" s="3" t="str">
        <f t="shared" si="9"/>
        <v>"2":{"type":"con","dst_persist":"n","src":{"33723":{"raddr":"172.29.9.67:0","mhdr":"BHb2","name":"NODO-01"}},"dst":{"mode":"server","raddr":"172.16.27.253:0","lport":"3723 BHb2","name":"Occi P2C^HISO6023 2"},"plugin": {"file":"slb_plugin_rm_biciso.so","type":"RM","args": {"nodrop":"n"}}}}},</v>
      </c>
    </row>
    <row r="110" spans="1:18">
      <c r="A110" s="92">
        <f>A106+1</f>
        <v>26</v>
      </c>
      <c r="B110" s="23" t="s">
        <v>122</v>
      </c>
      <c r="C110" s="23" t="str">
        <f>IF(C295="S","N","S")</f>
        <v>N</v>
      </c>
      <c r="D110" s="29">
        <v>1</v>
      </c>
      <c r="E110" s="93" t="s">
        <v>225</v>
      </c>
      <c r="F110" s="29" t="s">
        <v>8</v>
      </c>
      <c r="G110" s="29" t="s">
        <v>125</v>
      </c>
      <c r="H110" s="29" t="s">
        <v>437</v>
      </c>
      <c r="I110" s="29"/>
      <c r="J110" s="29">
        <v>5505</v>
      </c>
      <c r="K110" s="32" t="s">
        <v>437</v>
      </c>
      <c r="L110" s="32" t="str">
        <f t="shared" si="6"/>
        <v>172.29.9.67</v>
      </c>
      <c r="M110" s="32">
        <v>35505</v>
      </c>
      <c r="N110" s="32"/>
      <c r="O110" s="32"/>
      <c r="P110" s="32" t="s">
        <v>94</v>
      </c>
      <c r="Q110" s="49" t="s">
        <v>95</v>
      </c>
      <c r="R110" s="3" t="str">
        <f t="shared" si="9"/>
        <v/>
      </c>
    </row>
    <row r="111" spans="1:18">
      <c r="A111" s="63"/>
      <c r="B111" s="7" t="s">
        <v>123</v>
      </c>
      <c r="C111" s="7" t="str">
        <f t="shared" ref="C111:C112" si="11">IF(C296="S","N","S")</f>
        <v>N</v>
      </c>
      <c r="D111" s="8">
        <v>2</v>
      </c>
      <c r="E111" s="43" t="s">
        <v>224</v>
      </c>
      <c r="F111" s="8" t="s">
        <v>8</v>
      </c>
      <c r="G111" s="8" t="s">
        <v>125</v>
      </c>
      <c r="H111" s="8" t="s">
        <v>437</v>
      </c>
      <c r="I111" s="8"/>
      <c r="J111" s="8">
        <v>5405</v>
      </c>
      <c r="K111" s="33" t="s">
        <v>437</v>
      </c>
      <c r="L111" s="33" t="str">
        <f t="shared" si="6"/>
        <v>172.29.9.67</v>
      </c>
      <c r="M111" s="33">
        <v>35405</v>
      </c>
      <c r="N111" s="33"/>
      <c r="O111" s="33"/>
      <c r="P111" s="33" t="s">
        <v>94</v>
      </c>
      <c r="Q111" s="34" t="s">
        <v>95</v>
      </c>
      <c r="R111" s="3" t="str">
        <f t="shared" si="9"/>
        <v/>
      </c>
    </row>
    <row r="112" spans="1:18" ht="15" thickBot="1">
      <c r="A112" s="64"/>
      <c r="B112" s="16" t="s">
        <v>124</v>
      </c>
      <c r="C112" s="16" t="str">
        <f t="shared" si="11"/>
        <v>N</v>
      </c>
      <c r="D112" s="17">
        <v>3</v>
      </c>
      <c r="E112" s="44" t="s">
        <v>226</v>
      </c>
      <c r="F112" s="17" t="s">
        <v>8</v>
      </c>
      <c r="G112" s="17" t="s">
        <v>125</v>
      </c>
      <c r="H112" s="17" t="s">
        <v>437</v>
      </c>
      <c r="I112" s="17"/>
      <c r="J112" s="17">
        <v>5605</v>
      </c>
      <c r="K112" s="35" t="s">
        <v>437</v>
      </c>
      <c r="L112" s="35" t="str">
        <f t="shared" si="6"/>
        <v>172.29.9.67</v>
      </c>
      <c r="M112" s="35">
        <v>35605</v>
      </c>
      <c r="N112" s="35"/>
      <c r="O112" s="35"/>
      <c r="P112" s="35" t="s">
        <v>94</v>
      </c>
      <c r="Q112" s="36" t="s">
        <v>96</v>
      </c>
      <c r="R112" s="3" t="str">
        <f t="shared" si="9"/>
        <v/>
      </c>
    </row>
    <row r="113" spans="1:18">
      <c r="A113" s="92">
        <f>A110+1</f>
        <v>27</v>
      </c>
      <c r="B113" s="23" t="s">
        <v>200</v>
      </c>
      <c r="C113" s="23" t="str">
        <f t="shared" ref="C113:C158" si="12">IF(C298="S","N","S")</f>
        <v>N</v>
      </c>
      <c r="D113" s="29">
        <v>1</v>
      </c>
      <c r="E113" s="93" t="s">
        <v>204</v>
      </c>
      <c r="F113" s="29" t="s">
        <v>8</v>
      </c>
      <c r="G113" s="96" t="s">
        <v>208</v>
      </c>
      <c r="H113" s="29" t="s">
        <v>55</v>
      </c>
      <c r="I113" s="29"/>
      <c r="J113" s="29">
        <v>2017</v>
      </c>
      <c r="K113" s="32" t="s">
        <v>55</v>
      </c>
      <c r="L113" s="32" t="str">
        <f t="shared" si="8"/>
        <v>172.29.9.67</v>
      </c>
      <c r="M113" s="32">
        <v>22017</v>
      </c>
      <c r="N113" s="32"/>
      <c r="O113" s="32"/>
      <c r="P113" s="32" t="s">
        <v>94</v>
      </c>
      <c r="Q113" s="49" t="s">
        <v>95</v>
      </c>
      <c r="R113" s="3" t="str">
        <f t="shared" si="9"/>
        <v/>
      </c>
    </row>
    <row r="114" spans="1:18">
      <c r="A114" s="63"/>
      <c r="B114" s="7" t="s">
        <v>201</v>
      </c>
      <c r="C114" s="7" t="str">
        <f t="shared" si="12"/>
        <v>N</v>
      </c>
      <c r="D114" s="8">
        <v>2</v>
      </c>
      <c r="E114" s="43" t="s">
        <v>205</v>
      </c>
      <c r="F114" s="8" t="s">
        <v>8</v>
      </c>
      <c r="G114" s="86" t="s">
        <v>208</v>
      </c>
      <c r="H114" s="8" t="s">
        <v>55</v>
      </c>
      <c r="I114" s="8"/>
      <c r="J114" s="8">
        <v>3017</v>
      </c>
      <c r="K114" s="33" t="s">
        <v>55</v>
      </c>
      <c r="L114" s="33" t="str">
        <f t="shared" si="8"/>
        <v>172.29.9.67</v>
      </c>
      <c r="M114" s="33">
        <v>23017</v>
      </c>
      <c r="N114" s="33"/>
      <c r="O114" s="33"/>
      <c r="P114" s="33" t="s">
        <v>94</v>
      </c>
      <c r="Q114" s="34" t="s">
        <v>95</v>
      </c>
      <c r="R114" s="3" t="str">
        <f t="shared" si="9"/>
        <v/>
      </c>
    </row>
    <row r="115" spans="1:18">
      <c r="A115" s="63"/>
      <c r="B115" s="7" t="s">
        <v>202</v>
      </c>
      <c r="C115" s="7" t="str">
        <f t="shared" si="12"/>
        <v>N</v>
      </c>
      <c r="D115" s="8">
        <v>3</v>
      </c>
      <c r="E115" s="43" t="s">
        <v>206</v>
      </c>
      <c r="F115" s="8" t="s">
        <v>14</v>
      </c>
      <c r="G115" s="8"/>
      <c r="H115" s="8" t="s">
        <v>55</v>
      </c>
      <c r="I115" s="8" t="s">
        <v>13</v>
      </c>
      <c r="J115" s="8">
        <v>2017</v>
      </c>
      <c r="K115" s="33" t="s">
        <v>55</v>
      </c>
      <c r="L115" s="33" t="str">
        <f t="shared" si="8"/>
        <v>172.29.9.67</v>
      </c>
      <c r="M115" s="33">
        <v>52017</v>
      </c>
      <c r="N115" s="33"/>
      <c r="O115" s="33"/>
      <c r="P115" s="33" t="s">
        <v>94</v>
      </c>
      <c r="Q115" s="34" t="s">
        <v>95</v>
      </c>
      <c r="R115" s="3" t="str">
        <f t="shared" si="9"/>
        <v/>
      </c>
    </row>
    <row r="116" spans="1:18" ht="15" thickBot="1">
      <c r="A116" s="64"/>
      <c r="B116" s="16" t="s">
        <v>203</v>
      </c>
      <c r="C116" s="16" t="str">
        <f t="shared" si="12"/>
        <v>N</v>
      </c>
      <c r="D116" s="17">
        <v>4</v>
      </c>
      <c r="E116" s="44" t="s">
        <v>207</v>
      </c>
      <c r="F116" s="17" t="s">
        <v>14</v>
      </c>
      <c r="G116" s="17"/>
      <c r="H116" s="17" t="s">
        <v>55</v>
      </c>
      <c r="I116" s="17" t="s">
        <v>13</v>
      </c>
      <c r="J116" s="17">
        <v>3017</v>
      </c>
      <c r="K116" s="35" t="s">
        <v>55</v>
      </c>
      <c r="L116" s="35" t="str">
        <f t="shared" si="8"/>
        <v>172.29.9.67</v>
      </c>
      <c r="M116" s="35">
        <v>53017</v>
      </c>
      <c r="N116" s="35"/>
      <c r="O116" s="35"/>
      <c r="P116" s="35" t="s">
        <v>94</v>
      </c>
      <c r="Q116" s="36" t="s">
        <v>96</v>
      </c>
      <c r="R116" s="3" t="str">
        <f t="shared" si="9"/>
        <v/>
      </c>
    </row>
    <row r="117" spans="1:18">
      <c r="A117" s="92">
        <f>A113+1</f>
        <v>28</v>
      </c>
      <c r="B117" s="10" t="s">
        <v>401</v>
      </c>
      <c r="C117" s="23" t="str">
        <f t="shared" si="12"/>
        <v>N</v>
      </c>
      <c r="D117" s="11">
        <v>1</v>
      </c>
      <c r="E117" s="11">
        <v>10151</v>
      </c>
      <c r="F117" s="11" t="s">
        <v>14</v>
      </c>
      <c r="G117" s="29"/>
      <c r="H117" s="11" t="s">
        <v>437</v>
      </c>
      <c r="I117" s="29" t="s">
        <v>389</v>
      </c>
      <c r="J117" s="11">
        <v>5551</v>
      </c>
      <c r="K117" s="32" t="s">
        <v>437</v>
      </c>
      <c r="L117" s="32" t="str">
        <f t="shared" si="5"/>
        <v>172.29.9.67</v>
      </c>
      <c r="M117" s="32" t="str">
        <f>CONCATENATE(3,J117)</f>
        <v>35551</v>
      </c>
      <c r="N117" s="32"/>
      <c r="O117" s="32"/>
      <c r="P117" s="32" t="s">
        <v>94</v>
      </c>
      <c r="Q117" s="49" t="s">
        <v>95</v>
      </c>
      <c r="R117" s="3" t="str">
        <f t="shared" si="9"/>
        <v/>
      </c>
    </row>
    <row r="118" spans="1:18">
      <c r="A118" s="63"/>
      <c r="B118" s="2" t="s">
        <v>402</v>
      </c>
      <c r="C118" s="7" t="str">
        <f t="shared" si="12"/>
        <v>N</v>
      </c>
      <c r="D118" s="6">
        <v>2</v>
      </c>
      <c r="E118" s="6">
        <v>10152</v>
      </c>
      <c r="F118" s="6" t="s">
        <v>14</v>
      </c>
      <c r="G118" s="8"/>
      <c r="H118" s="6" t="s">
        <v>437</v>
      </c>
      <c r="I118" s="8" t="s">
        <v>389</v>
      </c>
      <c r="J118" s="6">
        <v>5552</v>
      </c>
      <c r="K118" s="33" t="s">
        <v>437</v>
      </c>
      <c r="L118" s="33" t="str">
        <f t="shared" si="5"/>
        <v>172.29.9.67</v>
      </c>
      <c r="M118" s="33" t="str">
        <f t="shared" ref="M118:M152" si="13">CONCATENATE(3,J118)</f>
        <v>35552</v>
      </c>
      <c r="N118" s="33"/>
      <c r="O118" s="33"/>
      <c r="P118" s="33" t="s">
        <v>94</v>
      </c>
      <c r="Q118" s="34" t="s">
        <v>95</v>
      </c>
      <c r="R118" s="3" t="str">
        <f t="shared" si="9"/>
        <v/>
      </c>
    </row>
    <row r="119" spans="1:18">
      <c r="A119" s="63"/>
      <c r="B119" s="2" t="s">
        <v>403</v>
      </c>
      <c r="C119" s="7" t="str">
        <f t="shared" si="12"/>
        <v>N</v>
      </c>
      <c r="D119" s="6">
        <v>3</v>
      </c>
      <c r="E119" s="6">
        <v>10153</v>
      </c>
      <c r="F119" s="6" t="s">
        <v>14</v>
      </c>
      <c r="G119" s="8"/>
      <c r="H119" s="6" t="s">
        <v>437</v>
      </c>
      <c r="I119" s="8" t="s">
        <v>389</v>
      </c>
      <c r="J119" s="6">
        <v>5553</v>
      </c>
      <c r="K119" s="33" t="s">
        <v>437</v>
      </c>
      <c r="L119" s="33" t="str">
        <f t="shared" si="5"/>
        <v>172.29.9.67</v>
      </c>
      <c r="M119" s="33" t="str">
        <f t="shared" si="13"/>
        <v>35553</v>
      </c>
      <c r="N119" s="33"/>
      <c r="O119" s="33"/>
      <c r="P119" s="33" t="s">
        <v>94</v>
      </c>
      <c r="Q119" s="34" t="s">
        <v>95</v>
      </c>
      <c r="R119" s="3" t="str">
        <f t="shared" si="9"/>
        <v/>
      </c>
    </row>
    <row r="120" spans="1:18">
      <c r="A120" s="63"/>
      <c r="B120" s="2" t="s">
        <v>404</v>
      </c>
      <c r="C120" s="7" t="str">
        <f t="shared" si="12"/>
        <v>N</v>
      </c>
      <c r="D120" s="6">
        <v>4</v>
      </c>
      <c r="E120" s="6">
        <v>10154</v>
      </c>
      <c r="F120" s="6" t="s">
        <v>14</v>
      </c>
      <c r="G120" s="8"/>
      <c r="H120" s="6" t="s">
        <v>437</v>
      </c>
      <c r="I120" s="8" t="s">
        <v>389</v>
      </c>
      <c r="J120" s="6">
        <v>5554</v>
      </c>
      <c r="K120" s="33" t="s">
        <v>437</v>
      </c>
      <c r="L120" s="33" t="str">
        <f t="shared" si="5"/>
        <v>172.29.9.67</v>
      </c>
      <c r="M120" s="33" t="str">
        <f t="shared" si="13"/>
        <v>35554</v>
      </c>
      <c r="N120" s="33"/>
      <c r="O120" s="33"/>
      <c r="P120" s="33" t="s">
        <v>94</v>
      </c>
      <c r="Q120" s="34" t="s">
        <v>95</v>
      </c>
      <c r="R120" s="3" t="str">
        <f t="shared" si="9"/>
        <v/>
      </c>
    </row>
    <row r="121" spans="1:18">
      <c r="A121" s="63"/>
      <c r="B121" s="2" t="s">
        <v>405</v>
      </c>
      <c r="C121" s="7" t="str">
        <f t="shared" si="12"/>
        <v>N</v>
      </c>
      <c r="D121" s="6">
        <v>5</v>
      </c>
      <c r="E121" s="6">
        <v>10155</v>
      </c>
      <c r="F121" s="6" t="s">
        <v>14</v>
      </c>
      <c r="G121" s="8"/>
      <c r="H121" s="6" t="s">
        <v>437</v>
      </c>
      <c r="I121" s="8" t="s">
        <v>389</v>
      </c>
      <c r="J121" s="6">
        <v>5555</v>
      </c>
      <c r="K121" s="33" t="s">
        <v>437</v>
      </c>
      <c r="L121" s="33" t="str">
        <f t="shared" si="5"/>
        <v>172.29.9.67</v>
      </c>
      <c r="M121" s="33" t="str">
        <f t="shared" si="13"/>
        <v>35555</v>
      </c>
      <c r="N121" s="33"/>
      <c r="O121" s="33"/>
      <c r="P121" s="33" t="s">
        <v>94</v>
      </c>
      <c r="Q121" s="34" t="s">
        <v>95</v>
      </c>
      <c r="R121" s="3" t="str">
        <f t="shared" si="9"/>
        <v/>
      </c>
    </row>
    <row r="122" spans="1:18" ht="15" thickBot="1">
      <c r="A122" s="64"/>
      <c r="B122" s="14" t="s">
        <v>406</v>
      </c>
      <c r="C122" s="16" t="str">
        <f t="shared" si="12"/>
        <v>N</v>
      </c>
      <c r="D122" s="15">
        <v>6</v>
      </c>
      <c r="E122" s="15">
        <v>10156</v>
      </c>
      <c r="F122" s="15" t="s">
        <v>14</v>
      </c>
      <c r="G122" s="17"/>
      <c r="H122" s="15" t="s">
        <v>437</v>
      </c>
      <c r="I122" s="17" t="s">
        <v>389</v>
      </c>
      <c r="J122" s="15">
        <v>5556</v>
      </c>
      <c r="K122" s="35" t="s">
        <v>437</v>
      </c>
      <c r="L122" s="35" t="str">
        <f t="shared" si="5"/>
        <v>172.29.9.67</v>
      </c>
      <c r="M122" s="35" t="str">
        <f t="shared" si="13"/>
        <v>35556</v>
      </c>
      <c r="N122" s="35"/>
      <c r="O122" s="35"/>
      <c r="P122" s="35" t="s">
        <v>94</v>
      </c>
      <c r="Q122" s="36" t="s">
        <v>96</v>
      </c>
      <c r="R122" s="3" t="str">
        <f t="shared" si="9"/>
        <v/>
      </c>
    </row>
    <row r="123" spans="1:18">
      <c r="A123" s="92">
        <f>$A$117+1</f>
        <v>29</v>
      </c>
      <c r="B123" s="10" t="s">
        <v>407</v>
      </c>
      <c r="C123" s="23" t="str">
        <f t="shared" si="12"/>
        <v>N</v>
      </c>
      <c r="D123" s="11">
        <v>1</v>
      </c>
      <c r="E123" s="11">
        <v>10157</v>
      </c>
      <c r="F123" s="11" t="s">
        <v>14</v>
      </c>
      <c r="G123" s="29"/>
      <c r="H123" s="11" t="s">
        <v>437</v>
      </c>
      <c r="I123" s="29" t="s">
        <v>389</v>
      </c>
      <c r="J123" s="11">
        <v>5557</v>
      </c>
      <c r="K123" s="32" t="s">
        <v>437</v>
      </c>
      <c r="L123" s="32" t="str">
        <f t="shared" si="5"/>
        <v>172.29.9.67</v>
      </c>
      <c r="M123" s="32" t="str">
        <f t="shared" si="13"/>
        <v>35557</v>
      </c>
      <c r="N123" s="32"/>
      <c r="O123" s="32"/>
      <c r="P123" s="32" t="s">
        <v>94</v>
      </c>
      <c r="Q123" s="49" t="s">
        <v>95</v>
      </c>
      <c r="R123" s="3" t="str">
        <f t="shared" si="9"/>
        <v/>
      </c>
    </row>
    <row r="124" spans="1:18">
      <c r="A124" s="63"/>
      <c r="B124" s="2" t="s">
        <v>408</v>
      </c>
      <c r="C124" s="7" t="str">
        <f t="shared" si="12"/>
        <v>N</v>
      </c>
      <c r="D124" s="6">
        <v>2</v>
      </c>
      <c r="E124" s="6">
        <v>10158</v>
      </c>
      <c r="F124" s="6" t="s">
        <v>14</v>
      </c>
      <c r="G124" s="8"/>
      <c r="H124" s="6" t="s">
        <v>437</v>
      </c>
      <c r="I124" s="8" t="s">
        <v>389</v>
      </c>
      <c r="J124" s="6">
        <v>5558</v>
      </c>
      <c r="K124" s="33" t="s">
        <v>437</v>
      </c>
      <c r="L124" s="33" t="str">
        <f t="shared" si="5"/>
        <v>172.29.9.67</v>
      </c>
      <c r="M124" s="33" t="str">
        <f t="shared" si="13"/>
        <v>35558</v>
      </c>
      <c r="N124" s="33"/>
      <c r="O124" s="33"/>
      <c r="P124" s="33" t="s">
        <v>94</v>
      </c>
      <c r="Q124" s="34" t="s">
        <v>95</v>
      </c>
      <c r="R124" s="3" t="str">
        <f t="shared" si="9"/>
        <v/>
      </c>
    </row>
    <row r="125" spans="1:18">
      <c r="A125" s="63"/>
      <c r="B125" s="2" t="s">
        <v>409</v>
      </c>
      <c r="C125" s="7" t="str">
        <f t="shared" si="12"/>
        <v>N</v>
      </c>
      <c r="D125" s="6">
        <v>3</v>
      </c>
      <c r="E125" s="6">
        <v>10159</v>
      </c>
      <c r="F125" s="6" t="s">
        <v>14</v>
      </c>
      <c r="G125" s="8"/>
      <c r="H125" s="6" t="s">
        <v>437</v>
      </c>
      <c r="I125" s="8" t="s">
        <v>389</v>
      </c>
      <c r="J125" s="6">
        <v>5559</v>
      </c>
      <c r="K125" s="33" t="s">
        <v>437</v>
      </c>
      <c r="L125" s="33" t="str">
        <f t="shared" si="5"/>
        <v>172.29.9.67</v>
      </c>
      <c r="M125" s="33" t="str">
        <f t="shared" si="13"/>
        <v>35559</v>
      </c>
      <c r="N125" s="33"/>
      <c r="O125" s="33"/>
      <c r="P125" s="33" t="s">
        <v>94</v>
      </c>
      <c r="Q125" s="34" t="s">
        <v>95</v>
      </c>
      <c r="R125" s="3" t="str">
        <f t="shared" si="9"/>
        <v/>
      </c>
    </row>
    <row r="126" spans="1:18">
      <c r="A126" s="63"/>
      <c r="B126" s="2" t="s">
        <v>410</v>
      </c>
      <c r="C126" s="7" t="str">
        <f t="shared" si="12"/>
        <v>N</v>
      </c>
      <c r="D126" s="6">
        <v>4</v>
      </c>
      <c r="E126" s="6">
        <v>10160</v>
      </c>
      <c r="F126" s="6" t="s">
        <v>14</v>
      </c>
      <c r="G126" s="8"/>
      <c r="H126" s="6" t="s">
        <v>437</v>
      </c>
      <c r="I126" s="8" t="s">
        <v>389</v>
      </c>
      <c r="J126" s="6">
        <v>5560</v>
      </c>
      <c r="K126" s="33" t="s">
        <v>437</v>
      </c>
      <c r="L126" s="33" t="str">
        <f t="shared" si="5"/>
        <v>172.29.9.67</v>
      </c>
      <c r="M126" s="33" t="str">
        <f t="shared" si="13"/>
        <v>35560</v>
      </c>
      <c r="N126" s="33"/>
      <c r="O126" s="33"/>
      <c r="P126" s="33" t="s">
        <v>94</v>
      </c>
      <c r="Q126" s="34" t="s">
        <v>95</v>
      </c>
      <c r="R126" s="3" t="str">
        <f t="shared" si="9"/>
        <v/>
      </c>
    </row>
    <row r="127" spans="1:18">
      <c r="A127" s="63"/>
      <c r="B127" s="2" t="s">
        <v>411</v>
      </c>
      <c r="C127" s="7" t="str">
        <f t="shared" si="12"/>
        <v>N</v>
      </c>
      <c r="D127" s="6">
        <v>5</v>
      </c>
      <c r="E127" s="6">
        <v>10161</v>
      </c>
      <c r="F127" s="6" t="s">
        <v>14</v>
      </c>
      <c r="G127" s="8"/>
      <c r="H127" s="6" t="s">
        <v>437</v>
      </c>
      <c r="I127" s="8" t="s">
        <v>389</v>
      </c>
      <c r="J127" s="6">
        <v>5561</v>
      </c>
      <c r="K127" s="33" t="s">
        <v>437</v>
      </c>
      <c r="L127" s="33" t="str">
        <f t="shared" si="5"/>
        <v>172.29.9.67</v>
      </c>
      <c r="M127" s="33" t="str">
        <f t="shared" si="13"/>
        <v>35561</v>
      </c>
      <c r="N127" s="33"/>
      <c r="O127" s="33"/>
      <c r="P127" s="33" t="s">
        <v>94</v>
      </c>
      <c r="Q127" s="34" t="s">
        <v>95</v>
      </c>
      <c r="R127" s="3" t="str">
        <f t="shared" si="9"/>
        <v/>
      </c>
    </row>
    <row r="128" spans="1:18" ht="15" thickBot="1">
      <c r="A128" s="64"/>
      <c r="B128" s="14" t="s">
        <v>412</v>
      </c>
      <c r="C128" s="16" t="str">
        <f t="shared" si="12"/>
        <v>N</v>
      </c>
      <c r="D128" s="15">
        <v>6</v>
      </c>
      <c r="E128" s="15">
        <v>10162</v>
      </c>
      <c r="F128" s="15" t="s">
        <v>14</v>
      </c>
      <c r="G128" s="17"/>
      <c r="H128" s="15" t="s">
        <v>437</v>
      </c>
      <c r="I128" s="17" t="s">
        <v>389</v>
      </c>
      <c r="J128" s="15">
        <v>5562</v>
      </c>
      <c r="K128" s="35" t="s">
        <v>437</v>
      </c>
      <c r="L128" s="35" t="str">
        <f t="shared" si="5"/>
        <v>172.29.9.67</v>
      </c>
      <c r="M128" s="35" t="str">
        <f t="shared" si="13"/>
        <v>35562</v>
      </c>
      <c r="N128" s="35"/>
      <c r="O128" s="35"/>
      <c r="P128" s="35" t="s">
        <v>94</v>
      </c>
      <c r="Q128" s="36" t="s">
        <v>96</v>
      </c>
      <c r="R128" s="3" t="str">
        <f t="shared" si="9"/>
        <v/>
      </c>
    </row>
    <row r="129" spans="1:18">
      <c r="A129" s="92">
        <f>$A$117+2</f>
        <v>30</v>
      </c>
      <c r="B129" s="10" t="s">
        <v>413</v>
      </c>
      <c r="C129" s="23" t="str">
        <f t="shared" si="12"/>
        <v>N</v>
      </c>
      <c r="D129" s="11">
        <v>1</v>
      </c>
      <c r="E129" s="11">
        <v>10163</v>
      </c>
      <c r="F129" s="11" t="s">
        <v>14</v>
      </c>
      <c r="G129" s="29"/>
      <c r="H129" s="11" t="s">
        <v>437</v>
      </c>
      <c r="I129" s="29" t="s">
        <v>389</v>
      </c>
      <c r="J129" s="11">
        <v>5563</v>
      </c>
      <c r="K129" s="32" t="s">
        <v>437</v>
      </c>
      <c r="L129" s="32" t="str">
        <f t="shared" si="5"/>
        <v>172.29.9.67</v>
      </c>
      <c r="M129" s="32" t="str">
        <f t="shared" si="13"/>
        <v>35563</v>
      </c>
      <c r="N129" s="32"/>
      <c r="O129" s="32"/>
      <c r="P129" s="32" t="s">
        <v>94</v>
      </c>
      <c r="Q129" s="49" t="s">
        <v>95</v>
      </c>
      <c r="R129" s="3" t="str">
        <f t="shared" si="9"/>
        <v/>
      </c>
    </row>
    <row r="130" spans="1:18">
      <c r="A130" s="63"/>
      <c r="B130" s="2" t="s">
        <v>414</v>
      </c>
      <c r="C130" s="7" t="str">
        <f t="shared" si="12"/>
        <v>N</v>
      </c>
      <c r="D130" s="6">
        <v>2</v>
      </c>
      <c r="E130" s="6">
        <v>10164</v>
      </c>
      <c r="F130" s="6" t="s">
        <v>14</v>
      </c>
      <c r="G130" s="8"/>
      <c r="H130" s="6" t="s">
        <v>437</v>
      </c>
      <c r="I130" s="8" t="s">
        <v>389</v>
      </c>
      <c r="J130" s="6">
        <v>5564</v>
      </c>
      <c r="K130" s="33" t="s">
        <v>437</v>
      </c>
      <c r="L130" s="33" t="str">
        <f t="shared" si="5"/>
        <v>172.29.9.67</v>
      </c>
      <c r="M130" s="33" t="str">
        <f t="shared" si="13"/>
        <v>35564</v>
      </c>
      <c r="N130" s="33"/>
      <c r="O130" s="33"/>
      <c r="P130" s="33" t="s">
        <v>94</v>
      </c>
      <c r="Q130" s="34" t="s">
        <v>95</v>
      </c>
      <c r="R130" s="3" t="str">
        <f t="shared" si="9"/>
        <v/>
      </c>
    </row>
    <row r="131" spans="1:18">
      <c r="A131" s="63"/>
      <c r="B131" s="2" t="s">
        <v>415</v>
      </c>
      <c r="C131" s="7" t="str">
        <f t="shared" si="12"/>
        <v>N</v>
      </c>
      <c r="D131" s="6">
        <v>3</v>
      </c>
      <c r="E131" s="6">
        <v>10165</v>
      </c>
      <c r="F131" s="6" t="s">
        <v>14</v>
      </c>
      <c r="G131" s="8"/>
      <c r="H131" s="6" t="s">
        <v>437</v>
      </c>
      <c r="I131" s="8" t="s">
        <v>389</v>
      </c>
      <c r="J131" s="6">
        <v>5565</v>
      </c>
      <c r="K131" s="33" t="s">
        <v>437</v>
      </c>
      <c r="L131" s="33" t="str">
        <f t="shared" si="5"/>
        <v>172.29.9.67</v>
      </c>
      <c r="M131" s="33" t="str">
        <f t="shared" si="13"/>
        <v>35565</v>
      </c>
      <c r="N131" s="33"/>
      <c r="O131" s="33"/>
      <c r="P131" s="33" t="s">
        <v>94</v>
      </c>
      <c r="Q131" s="34" t="s">
        <v>95</v>
      </c>
      <c r="R131" s="3" t="str">
        <f t="shared" si="9"/>
        <v/>
      </c>
    </row>
    <row r="132" spans="1:18">
      <c r="A132" s="63"/>
      <c r="B132" s="2" t="s">
        <v>416</v>
      </c>
      <c r="C132" s="7" t="str">
        <f t="shared" si="12"/>
        <v>N</v>
      </c>
      <c r="D132" s="6">
        <v>4</v>
      </c>
      <c r="E132" s="6">
        <v>10166</v>
      </c>
      <c r="F132" s="6" t="s">
        <v>14</v>
      </c>
      <c r="G132" s="8"/>
      <c r="H132" s="6" t="s">
        <v>437</v>
      </c>
      <c r="I132" s="8" t="s">
        <v>389</v>
      </c>
      <c r="J132" s="6">
        <v>5566</v>
      </c>
      <c r="K132" s="33" t="s">
        <v>437</v>
      </c>
      <c r="L132" s="33" t="str">
        <f t="shared" si="5"/>
        <v>172.29.9.67</v>
      </c>
      <c r="M132" s="33" t="str">
        <f t="shared" si="13"/>
        <v>35566</v>
      </c>
      <c r="N132" s="33"/>
      <c r="O132" s="33"/>
      <c r="P132" s="33" t="s">
        <v>94</v>
      </c>
      <c r="Q132" s="34" t="s">
        <v>95</v>
      </c>
      <c r="R132" s="3" t="str">
        <f t="shared" si="9"/>
        <v/>
      </c>
    </row>
    <row r="133" spans="1:18">
      <c r="A133" s="63"/>
      <c r="B133" s="2" t="s">
        <v>417</v>
      </c>
      <c r="C133" s="7" t="str">
        <f t="shared" si="12"/>
        <v>N</v>
      </c>
      <c r="D133" s="6">
        <v>5</v>
      </c>
      <c r="E133" s="6">
        <v>10167</v>
      </c>
      <c r="F133" s="6" t="s">
        <v>14</v>
      </c>
      <c r="G133" s="8"/>
      <c r="H133" s="6" t="s">
        <v>437</v>
      </c>
      <c r="I133" s="8" t="s">
        <v>389</v>
      </c>
      <c r="J133" s="6">
        <v>5567</v>
      </c>
      <c r="K133" s="33" t="s">
        <v>437</v>
      </c>
      <c r="L133" s="33" t="str">
        <f t="shared" si="5"/>
        <v>172.29.9.67</v>
      </c>
      <c r="M133" s="33" t="str">
        <f t="shared" si="13"/>
        <v>35567</v>
      </c>
      <c r="N133" s="33"/>
      <c r="O133" s="33"/>
      <c r="P133" s="33" t="s">
        <v>94</v>
      </c>
      <c r="Q133" s="34" t="s">
        <v>95</v>
      </c>
      <c r="R133" s="3" t="str">
        <f t="shared" si="9"/>
        <v/>
      </c>
    </row>
    <row r="134" spans="1:18" ht="15" thickBot="1">
      <c r="A134" s="64"/>
      <c r="B134" s="14" t="s">
        <v>418</v>
      </c>
      <c r="C134" s="16" t="str">
        <f t="shared" si="12"/>
        <v>N</v>
      </c>
      <c r="D134" s="15">
        <v>6</v>
      </c>
      <c r="E134" s="15">
        <v>10168</v>
      </c>
      <c r="F134" s="15" t="s">
        <v>14</v>
      </c>
      <c r="G134" s="17"/>
      <c r="H134" s="15" t="s">
        <v>437</v>
      </c>
      <c r="I134" s="17" t="s">
        <v>389</v>
      </c>
      <c r="J134" s="15">
        <v>5568</v>
      </c>
      <c r="K134" s="35" t="s">
        <v>437</v>
      </c>
      <c r="L134" s="35" t="str">
        <f t="shared" si="5"/>
        <v>172.29.9.67</v>
      </c>
      <c r="M134" s="35" t="str">
        <f t="shared" si="13"/>
        <v>35568</v>
      </c>
      <c r="N134" s="35"/>
      <c r="O134" s="35"/>
      <c r="P134" s="35" t="s">
        <v>94</v>
      </c>
      <c r="Q134" s="36" t="s">
        <v>96</v>
      </c>
      <c r="R134" s="3" t="str">
        <f t="shared" si="9"/>
        <v/>
      </c>
    </row>
    <row r="135" spans="1:18">
      <c r="A135" s="92">
        <f>$A$117+3</f>
        <v>31</v>
      </c>
      <c r="B135" s="10" t="s">
        <v>419</v>
      </c>
      <c r="C135" s="23" t="str">
        <f t="shared" si="12"/>
        <v>N</v>
      </c>
      <c r="D135" s="11">
        <v>1</v>
      </c>
      <c r="E135" s="11">
        <v>10169</v>
      </c>
      <c r="F135" s="11" t="s">
        <v>14</v>
      </c>
      <c r="G135" s="29"/>
      <c r="H135" s="11" t="s">
        <v>437</v>
      </c>
      <c r="I135" s="29" t="s">
        <v>389</v>
      </c>
      <c r="J135" s="11">
        <v>5569</v>
      </c>
      <c r="K135" s="32" t="s">
        <v>437</v>
      </c>
      <c r="L135" s="32" t="str">
        <f t="shared" si="5"/>
        <v>172.29.9.67</v>
      </c>
      <c r="M135" s="32" t="str">
        <f t="shared" si="13"/>
        <v>35569</v>
      </c>
      <c r="N135" s="32"/>
      <c r="O135" s="32"/>
      <c r="P135" s="32" t="s">
        <v>94</v>
      </c>
      <c r="Q135" s="49" t="s">
        <v>95</v>
      </c>
      <c r="R135" s="3" t="str">
        <f t="shared" si="9"/>
        <v/>
      </c>
    </row>
    <row r="136" spans="1:18">
      <c r="A136" s="63"/>
      <c r="B136" s="2" t="s">
        <v>420</v>
      </c>
      <c r="C136" s="7" t="str">
        <f t="shared" si="12"/>
        <v>N</v>
      </c>
      <c r="D136" s="6">
        <v>2</v>
      </c>
      <c r="E136" s="6">
        <v>10170</v>
      </c>
      <c r="F136" s="6" t="s">
        <v>14</v>
      </c>
      <c r="G136" s="8"/>
      <c r="H136" s="6" t="s">
        <v>437</v>
      </c>
      <c r="I136" s="8" t="s">
        <v>389</v>
      </c>
      <c r="J136" s="6">
        <v>5570</v>
      </c>
      <c r="K136" s="33" t="s">
        <v>437</v>
      </c>
      <c r="L136" s="33" t="str">
        <f t="shared" si="5"/>
        <v>172.29.9.67</v>
      </c>
      <c r="M136" s="33" t="str">
        <f t="shared" si="13"/>
        <v>35570</v>
      </c>
      <c r="N136" s="33"/>
      <c r="O136" s="33"/>
      <c r="P136" s="33" t="s">
        <v>94</v>
      </c>
      <c r="Q136" s="34" t="s">
        <v>95</v>
      </c>
      <c r="R136" s="3" t="str">
        <f t="shared" si="9"/>
        <v/>
      </c>
    </row>
    <row r="137" spans="1:18">
      <c r="A137" s="63"/>
      <c r="B137" s="2" t="s">
        <v>421</v>
      </c>
      <c r="C137" s="7" t="str">
        <f t="shared" si="12"/>
        <v>N</v>
      </c>
      <c r="D137" s="6">
        <v>3</v>
      </c>
      <c r="E137" s="6">
        <v>10171</v>
      </c>
      <c r="F137" s="6" t="s">
        <v>14</v>
      </c>
      <c r="G137" s="8"/>
      <c r="H137" s="6" t="s">
        <v>437</v>
      </c>
      <c r="I137" s="8" t="s">
        <v>389</v>
      </c>
      <c r="J137" s="6">
        <v>5571</v>
      </c>
      <c r="K137" s="33" t="s">
        <v>437</v>
      </c>
      <c r="L137" s="33" t="str">
        <f t="shared" si="5"/>
        <v>172.29.9.67</v>
      </c>
      <c r="M137" s="33" t="str">
        <f t="shared" si="13"/>
        <v>35571</v>
      </c>
      <c r="N137" s="33"/>
      <c r="O137" s="33"/>
      <c r="P137" s="33" t="s">
        <v>94</v>
      </c>
      <c r="Q137" s="34" t="s">
        <v>95</v>
      </c>
      <c r="R137" s="3" t="str">
        <f t="shared" si="9"/>
        <v/>
      </c>
    </row>
    <row r="138" spans="1:18">
      <c r="A138" s="63"/>
      <c r="B138" s="2" t="s">
        <v>422</v>
      </c>
      <c r="C138" s="7" t="str">
        <f t="shared" si="12"/>
        <v>N</v>
      </c>
      <c r="D138" s="6">
        <v>4</v>
      </c>
      <c r="E138" s="6">
        <v>10172</v>
      </c>
      <c r="F138" s="6" t="s">
        <v>14</v>
      </c>
      <c r="G138" s="8"/>
      <c r="H138" s="6" t="s">
        <v>437</v>
      </c>
      <c r="I138" s="8" t="s">
        <v>389</v>
      </c>
      <c r="J138" s="6">
        <v>5572</v>
      </c>
      <c r="K138" s="33" t="s">
        <v>437</v>
      </c>
      <c r="L138" s="33" t="str">
        <f t="shared" si="5"/>
        <v>172.29.9.67</v>
      </c>
      <c r="M138" s="33" t="str">
        <f t="shared" si="13"/>
        <v>35572</v>
      </c>
      <c r="N138" s="33"/>
      <c r="O138" s="33"/>
      <c r="P138" s="33" t="s">
        <v>94</v>
      </c>
      <c r="Q138" s="34" t="s">
        <v>95</v>
      </c>
      <c r="R138" s="3" t="str">
        <f t="shared" si="9"/>
        <v/>
      </c>
    </row>
    <row r="139" spans="1:18">
      <c r="A139" s="63"/>
      <c r="B139" s="2" t="s">
        <v>423</v>
      </c>
      <c r="C139" s="7" t="str">
        <f t="shared" si="12"/>
        <v>N</v>
      </c>
      <c r="D139" s="6">
        <v>5</v>
      </c>
      <c r="E139" s="6">
        <v>10173</v>
      </c>
      <c r="F139" s="6" t="s">
        <v>14</v>
      </c>
      <c r="G139" s="8"/>
      <c r="H139" s="6" t="s">
        <v>437</v>
      </c>
      <c r="I139" s="8" t="s">
        <v>389</v>
      </c>
      <c r="J139" s="6">
        <v>5573</v>
      </c>
      <c r="K139" s="33" t="s">
        <v>437</v>
      </c>
      <c r="L139" s="33" t="str">
        <f t="shared" si="5"/>
        <v>172.29.9.67</v>
      </c>
      <c r="M139" s="33" t="str">
        <f t="shared" si="13"/>
        <v>35573</v>
      </c>
      <c r="N139" s="33"/>
      <c r="O139" s="33"/>
      <c r="P139" s="33" t="s">
        <v>94</v>
      </c>
      <c r="Q139" s="34" t="s">
        <v>95</v>
      </c>
      <c r="R139" s="3" t="str">
        <f t="shared" si="9"/>
        <v/>
      </c>
    </row>
    <row r="140" spans="1:18" ht="15" thickBot="1">
      <c r="A140" s="64"/>
      <c r="B140" s="14" t="s">
        <v>424</v>
      </c>
      <c r="C140" s="16" t="str">
        <f t="shared" si="12"/>
        <v>N</v>
      </c>
      <c r="D140" s="15">
        <v>6</v>
      </c>
      <c r="E140" s="15">
        <v>10174</v>
      </c>
      <c r="F140" s="15" t="s">
        <v>14</v>
      </c>
      <c r="G140" s="17"/>
      <c r="H140" s="15" t="s">
        <v>437</v>
      </c>
      <c r="I140" s="17" t="s">
        <v>389</v>
      </c>
      <c r="J140" s="15">
        <v>5574</v>
      </c>
      <c r="K140" s="35" t="s">
        <v>437</v>
      </c>
      <c r="L140" s="35" t="str">
        <f t="shared" si="5"/>
        <v>172.29.9.67</v>
      </c>
      <c r="M140" s="35" t="str">
        <f t="shared" si="13"/>
        <v>35574</v>
      </c>
      <c r="N140" s="35"/>
      <c r="O140" s="35"/>
      <c r="P140" s="35" t="s">
        <v>94</v>
      </c>
      <c r="Q140" s="36" t="s">
        <v>96</v>
      </c>
      <c r="R140" s="3" t="str">
        <f t="shared" si="9"/>
        <v/>
      </c>
    </row>
    <row r="141" spans="1:18">
      <c r="A141" s="92">
        <f>$A$117+4</f>
        <v>32</v>
      </c>
      <c r="B141" s="10" t="s">
        <v>425</v>
      </c>
      <c r="C141" s="23" t="str">
        <f t="shared" si="12"/>
        <v>N</v>
      </c>
      <c r="D141" s="11">
        <v>1</v>
      </c>
      <c r="E141" s="11">
        <v>10175</v>
      </c>
      <c r="F141" s="11" t="s">
        <v>14</v>
      </c>
      <c r="G141" s="29"/>
      <c r="H141" s="11" t="s">
        <v>437</v>
      </c>
      <c r="I141" s="29" t="s">
        <v>389</v>
      </c>
      <c r="J141" s="11">
        <v>5575</v>
      </c>
      <c r="K141" s="32" t="s">
        <v>437</v>
      </c>
      <c r="L141" s="32" t="str">
        <f t="shared" si="5"/>
        <v>172.29.9.67</v>
      </c>
      <c r="M141" s="32" t="str">
        <f t="shared" si="13"/>
        <v>35575</v>
      </c>
      <c r="N141" s="32"/>
      <c r="O141" s="32"/>
      <c r="P141" s="32" t="s">
        <v>94</v>
      </c>
      <c r="Q141" s="49" t="s">
        <v>95</v>
      </c>
      <c r="R141" s="3" t="str">
        <f t="shared" si="9"/>
        <v/>
      </c>
    </row>
    <row r="142" spans="1:18">
      <c r="A142" s="63"/>
      <c r="B142" s="2" t="s">
        <v>426</v>
      </c>
      <c r="C142" s="7" t="str">
        <f t="shared" si="12"/>
        <v>N</v>
      </c>
      <c r="D142" s="6">
        <v>2</v>
      </c>
      <c r="E142" s="6">
        <v>10176</v>
      </c>
      <c r="F142" s="6" t="s">
        <v>14</v>
      </c>
      <c r="G142" s="8"/>
      <c r="H142" s="6" t="s">
        <v>437</v>
      </c>
      <c r="I142" s="8" t="s">
        <v>389</v>
      </c>
      <c r="J142" s="6">
        <v>5576</v>
      </c>
      <c r="K142" s="33" t="s">
        <v>437</v>
      </c>
      <c r="L142" s="33" t="str">
        <f t="shared" si="5"/>
        <v>172.29.9.67</v>
      </c>
      <c r="M142" s="33" t="str">
        <f t="shared" si="13"/>
        <v>35576</v>
      </c>
      <c r="N142" s="33"/>
      <c r="O142" s="33"/>
      <c r="P142" s="33" t="s">
        <v>94</v>
      </c>
      <c r="Q142" s="34" t="s">
        <v>95</v>
      </c>
      <c r="R142" s="3" t="str">
        <f t="shared" si="9"/>
        <v/>
      </c>
    </row>
    <row r="143" spans="1:18">
      <c r="A143" s="63"/>
      <c r="B143" s="2" t="s">
        <v>427</v>
      </c>
      <c r="C143" s="7" t="str">
        <f t="shared" si="12"/>
        <v>N</v>
      </c>
      <c r="D143" s="6">
        <v>3</v>
      </c>
      <c r="E143" s="6">
        <v>10177</v>
      </c>
      <c r="F143" s="6" t="s">
        <v>14</v>
      </c>
      <c r="G143" s="8"/>
      <c r="H143" s="6" t="s">
        <v>437</v>
      </c>
      <c r="I143" s="8" t="s">
        <v>389</v>
      </c>
      <c r="J143" s="6">
        <v>5577</v>
      </c>
      <c r="K143" s="33" t="s">
        <v>437</v>
      </c>
      <c r="L143" s="33" t="str">
        <f t="shared" si="0"/>
        <v>172.29.9.67</v>
      </c>
      <c r="M143" s="33" t="str">
        <f t="shared" si="13"/>
        <v>35577</v>
      </c>
      <c r="N143" s="33"/>
      <c r="O143" s="33"/>
      <c r="P143" s="33" t="s">
        <v>94</v>
      </c>
      <c r="Q143" s="34" t="s">
        <v>95</v>
      </c>
      <c r="R143" s="3" t="str">
        <f t="shared" si="9"/>
        <v/>
      </c>
    </row>
    <row r="144" spans="1:18">
      <c r="A144" s="63"/>
      <c r="B144" s="2" t="s">
        <v>428</v>
      </c>
      <c r="C144" s="7" t="str">
        <f t="shared" si="12"/>
        <v>N</v>
      </c>
      <c r="D144" s="6">
        <v>4</v>
      </c>
      <c r="E144" s="6">
        <v>10178</v>
      </c>
      <c r="F144" s="6" t="s">
        <v>14</v>
      </c>
      <c r="G144" s="8"/>
      <c r="H144" s="6" t="s">
        <v>437</v>
      </c>
      <c r="I144" s="8" t="s">
        <v>389</v>
      </c>
      <c r="J144" s="6">
        <v>5578</v>
      </c>
      <c r="K144" s="33" t="s">
        <v>437</v>
      </c>
      <c r="L144" s="33" t="str">
        <f t="shared" si="0"/>
        <v>172.29.9.67</v>
      </c>
      <c r="M144" s="33" t="str">
        <f t="shared" si="13"/>
        <v>35578</v>
      </c>
      <c r="N144" s="33"/>
      <c r="O144" s="33"/>
      <c r="P144" s="33" t="s">
        <v>94</v>
      </c>
      <c r="Q144" s="34" t="s">
        <v>95</v>
      </c>
      <c r="R144" s="3" t="str">
        <f t="shared" si="9"/>
        <v/>
      </c>
    </row>
    <row r="145" spans="1:18">
      <c r="A145" s="63"/>
      <c r="B145" s="2" t="s">
        <v>429</v>
      </c>
      <c r="C145" s="7" t="str">
        <f t="shared" si="12"/>
        <v>N</v>
      </c>
      <c r="D145" s="6">
        <v>5</v>
      </c>
      <c r="E145" s="6">
        <v>10179</v>
      </c>
      <c r="F145" s="6" t="s">
        <v>14</v>
      </c>
      <c r="G145" s="8"/>
      <c r="H145" s="6" t="s">
        <v>437</v>
      </c>
      <c r="I145" s="8" t="s">
        <v>389</v>
      </c>
      <c r="J145" s="6">
        <v>5579</v>
      </c>
      <c r="K145" s="33" t="s">
        <v>437</v>
      </c>
      <c r="L145" s="33" t="str">
        <f t="shared" si="0"/>
        <v>172.29.9.67</v>
      </c>
      <c r="M145" s="33" t="str">
        <f t="shared" si="13"/>
        <v>35579</v>
      </c>
      <c r="N145" s="33"/>
      <c r="O145" s="33"/>
      <c r="P145" s="33" t="s">
        <v>94</v>
      </c>
      <c r="Q145" s="34" t="s">
        <v>95</v>
      </c>
      <c r="R145" s="3" t="str">
        <f t="shared" si="9"/>
        <v/>
      </c>
    </row>
    <row r="146" spans="1:18" ht="15" thickBot="1">
      <c r="A146" s="64"/>
      <c r="B146" s="14" t="s">
        <v>430</v>
      </c>
      <c r="C146" s="16" t="str">
        <f t="shared" si="12"/>
        <v>N</v>
      </c>
      <c r="D146" s="15">
        <v>6</v>
      </c>
      <c r="E146" s="15">
        <v>10180</v>
      </c>
      <c r="F146" s="15" t="s">
        <v>14</v>
      </c>
      <c r="G146" s="17"/>
      <c r="H146" s="15" t="s">
        <v>437</v>
      </c>
      <c r="I146" s="17" t="s">
        <v>389</v>
      </c>
      <c r="J146" s="15">
        <v>5580</v>
      </c>
      <c r="K146" s="35" t="s">
        <v>437</v>
      </c>
      <c r="L146" s="35" t="str">
        <f t="shared" si="0"/>
        <v>172.29.9.67</v>
      </c>
      <c r="M146" s="35" t="str">
        <f t="shared" si="13"/>
        <v>35580</v>
      </c>
      <c r="N146" s="35"/>
      <c r="O146" s="35"/>
      <c r="P146" s="35" t="s">
        <v>94</v>
      </c>
      <c r="Q146" s="36" t="s">
        <v>96</v>
      </c>
      <c r="R146" s="3" t="str">
        <f t="shared" si="9"/>
        <v/>
      </c>
    </row>
    <row r="147" spans="1:18">
      <c r="A147" s="92">
        <f>$A$117+5</f>
        <v>33</v>
      </c>
      <c r="B147" s="10" t="s">
        <v>431</v>
      </c>
      <c r="C147" s="23" t="str">
        <f t="shared" si="12"/>
        <v>N</v>
      </c>
      <c r="D147" s="11">
        <v>1</v>
      </c>
      <c r="E147" s="11">
        <v>10181</v>
      </c>
      <c r="F147" s="11" t="s">
        <v>14</v>
      </c>
      <c r="G147" s="29"/>
      <c r="H147" s="11" t="s">
        <v>437</v>
      </c>
      <c r="I147" s="29" t="s">
        <v>389</v>
      </c>
      <c r="J147" s="11">
        <v>5581</v>
      </c>
      <c r="K147" s="32" t="s">
        <v>437</v>
      </c>
      <c r="L147" s="32" t="str">
        <f t="shared" si="0"/>
        <v>172.29.9.67</v>
      </c>
      <c r="M147" s="32" t="str">
        <f t="shared" si="13"/>
        <v>35581</v>
      </c>
      <c r="N147" s="32"/>
      <c r="O147" s="32"/>
      <c r="P147" s="32" t="s">
        <v>94</v>
      </c>
      <c r="Q147" s="49" t="s">
        <v>95</v>
      </c>
      <c r="R147" s="3" t="str">
        <f t="shared" si="9"/>
        <v/>
      </c>
    </row>
    <row r="148" spans="1:18">
      <c r="A148" s="63"/>
      <c r="B148" s="2" t="s">
        <v>432</v>
      </c>
      <c r="C148" s="7" t="str">
        <f t="shared" si="12"/>
        <v>N</v>
      </c>
      <c r="D148" s="6">
        <v>2</v>
      </c>
      <c r="E148" s="6">
        <v>10182</v>
      </c>
      <c r="F148" s="6" t="s">
        <v>14</v>
      </c>
      <c r="G148" s="8"/>
      <c r="H148" s="6" t="s">
        <v>437</v>
      </c>
      <c r="I148" s="8" t="s">
        <v>389</v>
      </c>
      <c r="J148" s="6">
        <v>5582</v>
      </c>
      <c r="K148" s="33" t="s">
        <v>437</v>
      </c>
      <c r="L148" s="33" t="str">
        <f t="shared" si="0"/>
        <v>172.29.9.67</v>
      </c>
      <c r="M148" s="33" t="str">
        <f t="shared" si="13"/>
        <v>35582</v>
      </c>
      <c r="N148" s="33"/>
      <c r="O148" s="33"/>
      <c r="P148" s="33" t="s">
        <v>94</v>
      </c>
      <c r="Q148" s="34" t="s">
        <v>95</v>
      </c>
      <c r="R148" s="3" t="str">
        <f t="shared" si="9"/>
        <v/>
      </c>
    </row>
    <row r="149" spans="1:18">
      <c r="A149" s="63"/>
      <c r="B149" s="2" t="s">
        <v>433</v>
      </c>
      <c r="C149" s="7" t="str">
        <f t="shared" si="12"/>
        <v>N</v>
      </c>
      <c r="D149" s="6">
        <v>3</v>
      </c>
      <c r="E149" s="6">
        <v>10183</v>
      </c>
      <c r="F149" s="6" t="s">
        <v>14</v>
      </c>
      <c r="G149" s="8"/>
      <c r="H149" s="6" t="s">
        <v>437</v>
      </c>
      <c r="I149" s="8" t="s">
        <v>389</v>
      </c>
      <c r="J149" s="6">
        <v>5583</v>
      </c>
      <c r="K149" s="33" t="s">
        <v>437</v>
      </c>
      <c r="L149" s="33" t="str">
        <f t="shared" si="0"/>
        <v>172.29.9.67</v>
      </c>
      <c r="M149" s="33" t="str">
        <f t="shared" si="13"/>
        <v>35583</v>
      </c>
      <c r="N149" s="33"/>
      <c r="O149" s="33"/>
      <c r="P149" s="33" t="s">
        <v>94</v>
      </c>
      <c r="Q149" s="34" t="s">
        <v>95</v>
      </c>
      <c r="R149" s="3" t="str">
        <f t="shared" si="9"/>
        <v/>
      </c>
    </row>
    <row r="150" spans="1:18">
      <c r="A150" s="63"/>
      <c r="B150" s="2" t="s">
        <v>434</v>
      </c>
      <c r="C150" s="7" t="str">
        <f t="shared" si="12"/>
        <v>N</v>
      </c>
      <c r="D150" s="6">
        <v>4</v>
      </c>
      <c r="E150" s="6">
        <v>10184</v>
      </c>
      <c r="F150" s="6" t="s">
        <v>14</v>
      </c>
      <c r="G150" s="8"/>
      <c r="H150" s="6" t="s">
        <v>437</v>
      </c>
      <c r="I150" s="8" t="s">
        <v>389</v>
      </c>
      <c r="J150" s="6">
        <v>5584</v>
      </c>
      <c r="K150" s="33" t="s">
        <v>437</v>
      </c>
      <c r="L150" s="33" t="str">
        <f t="shared" si="0"/>
        <v>172.29.9.67</v>
      </c>
      <c r="M150" s="33" t="str">
        <f t="shared" si="13"/>
        <v>35584</v>
      </c>
      <c r="N150" s="33"/>
      <c r="O150" s="33"/>
      <c r="P150" s="33" t="s">
        <v>94</v>
      </c>
      <c r="Q150" s="34" t="s">
        <v>95</v>
      </c>
      <c r="R150" s="3" t="str">
        <f t="shared" si="9"/>
        <v/>
      </c>
    </row>
    <row r="151" spans="1:18">
      <c r="A151" s="63"/>
      <c r="B151" s="2" t="s">
        <v>435</v>
      </c>
      <c r="C151" s="7" t="str">
        <f t="shared" si="12"/>
        <v>N</v>
      </c>
      <c r="D151" s="6">
        <v>5</v>
      </c>
      <c r="E151" s="6">
        <v>10185</v>
      </c>
      <c r="F151" s="6" t="s">
        <v>14</v>
      </c>
      <c r="G151" s="8"/>
      <c r="H151" s="6" t="s">
        <v>437</v>
      </c>
      <c r="I151" s="8" t="s">
        <v>389</v>
      </c>
      <c r="J151" s="6">
        <v>5585</v>
      </c>
      <c r="K151" s="33" t="s">
        <v>437</v>
      </c>
      <c r="L151" s="33" t="str">
        <f t="shared" si="0"/>
        <v>172.29.9.67</v>
      </c>
      <c r="M151" s="33" t="str">
        <f t="shared" si="13"/>
        <v>35585</v>
      </c>
      <c r="N151" s="33"/>
      <c r="O151" s="33"/>
      <c r="P151" s="33" t="s">
        <v>94</v>
      </c>
      <c r="Q151" s="34" t="s">
        <v>95</v>
      </c>
      <c r="R151" s="3" t="str">
        <f t="shared" si="9"/>
        <v/>
      </c>
    </row>
    <row r="152" spans="1:18" ht="15" thickBot="1">
      <c r="A152" s="64"/>
      <c r="B152" s="14" t="s">
        <v>436</v>
      </c>
      <c r="C152" s="16" t="str">
        <f t="shared" si="12"/>
        <v>N</v>
      </c>
      <c r="D152" s="15">
        <v>6</v>
      </c>
      <c r="E152" s="15">
        <v>10186</v>
      </c>
      <c r="F152" s="15" t="s">
        <v>14</v>
      </c>
      <c r="G152" s="17"/>
      <c r="H152" s="15" t="s">
        <v>437</v>
      </c>
      <c r="I152" s="17" t="s">
        <v>389</v>
      </c>
      <c r="J152" s="15">
        <v>5586</v>
      </c>
      <c r="K152" s="35" t="s">
        <v>437</v>
      </c>
      <c r="L152" s="35" t="str">
        <f t="shared" si="0"/>
        <v>172.29.9.67</v>
      </c>
      <c r="M152" s="35" t="str">
        <f t="shared" si="13"/>
        <v>35586</v>
      </c>
      <c r="N152" s="35"/>
      <c r="O152" s="35"/>
      <c r="P152" s="35" t="s">
        <v>94</v>
      </c>
      <c r="Q152" s="36" t="s">
        <v>96</v>
      </c>
      <c r="R152" s="3" t="str">
        <f t="shared" si="9"/>
        <v/>
      </c>
    </row>
    <row r="153" spans="1:18" ht="15" thickBot="1">
      <c r="A153" s="92">
        <f>A147+1</f>
        <v>34</v>
      </c>
      <c r="B153" s="23" t="s">
        <v>444</v>
      </c>
      <c r="C153" s="16" t="str">
        <f t="shared" si="12"/>
        <v>N</v>
      </c>
      <c r="D153" s="29">
        <v>1</v>
      </c>
      <c r="E153" s="93">
        <v>10570</v>
      </c>
      <c r="F153" s="29" t="s">
        <v>8</v>
      </c>
      <c r="G153" s="29" t="s">
        <v>1250</v>
      </c>
      <c r="H153" s="29" t="s">
        <v>55</v>
      </c>
      <c r="I153" s="29"/>
      <c r="J153" s="29">
        <v>8810</v>
      </c>
      <c r="K153" s="32" t="s">
        <v>55</v>
      </c>
      <c r="L153" s="32" t="str">
        <f t="shared" si="0"/>
        <v>172.29.9.67</v>
      </c>
      <c r="M153" s="32">
        <v>38810</v>
      </c>
      <c r="N153" s="32"/>
      <c r="O153" s="32"/>
      <c r="P153" s="32" t="s">
        <v>94</v>
      </c>
      <c r="Q153" s="49" t="s">
        <v>95</v>
      </c>
      <c r="R153" s="3" t="str">
        <f t="shared" si="9"/>
        <v/>
      </c>
    </row>
    <row r="154" spans="1:18" ht="15" thickBot="1">
      <c r="A154" s="63"/>
      <c r="B154" s="7" t="s">
        <v>445</v>
      </c>
      <c r="C154" s="16" t="str">
        <f t="shared" si="12"/>
        <v>N</v>
      </c>
      <c r="D154" s="8">
        <v>2</v>
      </c>
      <c r="E154" s="43">
        <v>10571</v>
      </c>
      <c r="F154" s="8" t="s">
        <v>8</v>
      </c>
      <c r="G154" s="8" t="s">
        <v>1250</v>
      </c>
      <c r="H154" s="8" t="s">
        <v>55</v>
      </c>
      <c r="I154" s="8"/>
      <c r="J154" s="8">
        <v>8811</v>
      </c>
      <c r="K154" s="33" t="s">
        <v>55</v>
      </c>
      <c r="L154" s="33" t="str">
        <f t="shared" si="0"/>
        <v>172.29.9.67</v>
      </c>
      <c r="M154" s="33">
        <v>38811</v>
      </c>
      <c r="N154" s="33"/>
      <c r="O154" s="33"/>
      <c r="P154" s="33" t="s">
        <v>94</v>
      </c>
      <c r="Q154" s="34" t="s">
        <v>95</v>
      </c>
      <c r="R154" s="3" t="str">
        <f t="shared" si="9"/>
        <v/>
      </c>
    </row>
    <row r="155" spans="1:18" ht="15" thickBot="1">
      <c r="A155" s="63"/>
      <c r="B155" s="7" t="s">
        <v>442</v>
      </c>
      <c r="C155" s="16" t="str">
        <f t="shared" si="12"/>
        <v>N</v>
      </c>
      <c r="D155" s="8">
        <v>3</v>
      </c>
      <c r="E155" s="43">
        <v>10590</v>
      </c>
      <c r="F155" s="8" t="s">
        <v>14</v>
      </c>
      <c r="G155" s="8"/>
      <c r="H155" s="8" t="s">
        <v>55</v>
      </c>
      <c r="I155" s="8" t="s">
        <v>389</v>
      </c>
      <c r="J155" s="8">
        <v>8810</v>
      </c>
      <c r="K155" s="33" t="s">
        <v>55</v>
      </c>
      <c r="L155" s="33" t="str">
        <f t="shared" si="0"/>
        <v>172.29.9.67</v>
      </c>
      <c r="M155" s="33">
        <v>58810</v>
      </c>
      <c r="N155" s="33"/>
      <c r="O155" s="33"/>
      <c r="P155" s="33" t="s">
        <v>94</v>
      </c>
      <c r="Q155" s="34" t="s">
        <v>95</v>
      </c>
      <c r="R155" s="3" t="str">
        <f t="shared" si="9"/>
        <v/>
      </c>
    </row>
    <row r="156" spans="1:18" ht="15" thickBot="1">
      <c r="A156" s="64"/>
      <c r="B156" s="16" t="s">
        <v>443</v>
      </c>
      <c r="C156" s="16" t="str">
        <f t="shared" si="12"/>
        <v>N</v>
      </c>
      <c r="D156" s="17">
        <v>4</v>
      </c>
      <c r="E156" s="44">
        <v>10591</v>
      </c>
      <c r="F156" s="17" t="s">
        <v>14</v>
      </c>
      <c r="G156" s="17"/>
      <c r="H156" s="17" t="s">
        <v>55</v>
      </c>
      <c r="I156" s="17" t="s">
        <v>389</v>
      </c>
      <c r="J156" s="17">
        <v>8811</v>
      </c>
      <c r="K156" s="35" t="s">
        <v>55</v>
      </c>
      <c r="L156" s="35" t="str">
        <f t="shared" si="0"/>
        <v>172.29.9.67</v>
      </c>
      <c r="M156" s="35">
        <v>58811</v>
      </c>
      <c r="N156" s="35"/>
      <c r="O156" s="35"/>
      <c r="P156" s="35" t="s">
        <v>94</v>
      </c>
      <c r="Q156" s="36" t="s">
        <v>96</v>
      </c>
      <c r="R156" s="3" t="str">
        <f t="shared" si="9"/>
        <v/>
      </c>
    </row>
    <row r="157" spans="1:18" ht="15" thickBot="1">
      <c r="A157" s="92">
        <f>A153+1</f>
        <v>35</v>
      </c>
      <c r="B157" s="23" t="s">
        <v>218</v>
      </c>
      <c r="C157" s="16" t="str">
        <f t="shared" si="12"/>
        <v>N</v>
      </c>
      <c r="D157" s="29">
        <v>1</v>
      </c>
      <c r="E157" s="93" t="s">
        <v>222</v>
      </c>
      <c r="F157" s="29" t="s">
        <v>8</v>
      </c>
      <c r="G157" s="29" t="s">
        <v>217</v>
      </c>
      <c r="H157" s="29" t="s">
        <v>437</v>
      </c>
      <c r="I157" s="29"/>
      <c r="J157" s="29">
        <v>5307</v>
      </c>
      <c r="K157" s="32" t="s">
        <v>437</v>
      </c>
      <c r="L157" s="32" t="str">
        <f t="shared" si="0"/>
        <v>172.29.9.67</v>
      </c>
      <c r="M157" s="32">
        <v>35307</v>
      </c>
      <c r="N157" s="32"/>
      <c r="O157" s="32"/>
      <c r="P157" s="32" t="s">
        <v>136</v>
      </c>
      <c r="Q157" s="49" t="s">
        <v>95</v>
      </c>
      <c r="R157" s="3" t="str">
        <f t="shared" si="9"/>
        <v/>
      </c>
    </row>
    <row r="158" spans="1:18" ht="15" thickBot="1">
      <c r="A158" s="63"/>
      <c r="B158" s="7" t="s">
        <v>219</v>
      </c>
      <c r="C158" s="16" t="str">
        <f t="shared" si="12"/>
        <v>N</v>
      </c>
      <c r="D158" s="8">
        <v>2</v>
      </c>
      <c r="E158" s="43" t="s">
        <v>223</v>
      </c>
      <c r="F158" s="8" t="s">
        <v>8</v>
      </c>
      <c r="G158" s="8" t="s">
        <v>217</v>
      </c>
      <c r="H158" s="8" t="s">
        <v>437</v>
      </c>
      <c r="I158" s="8"/>
      <c r="J158" s="8">
        <v>6307</v>
      </c>
      <c r="K158" s="33" t="s">
        <v>437</v>
      </c>
      <c r="L158" s="33" t="str">
        <f t="shared" si="0"/>
        <v>172.29.9.67</v>
      </c>
      <c r="M158" s="33">
        <v>36307</v>
      </c>
      <c r="N158" s="33"/>
      <c r="O158" s="33"/>
      <c r="P158" s="33" t="s">
        <v>136</v>
      </c>
      <c r="Q158" s="34" t="s">
        <v>96</v>
      </c>
      <c r="R158" s="3" t="str">
        <f t="shared" si="9"/>
        <v/>
      </c>
    </row>
    <row r="159" spans="1:18" ht="15" thickBot="1">
      <c r="A159" s="80">
        <f>A157+1</f>
        <v>36</v>
      </c>
      <c r="B159" s="23" t="s">
        <v>1408</v>
      </c>
      <c r="C159" s="23" t="s">
        <v>497</v>
      </c>
      <c r="D159" s="29">
        <v>1</v>
      </c>
      <c r="E159" s="29">
        <v>12801</v>
      </c>
      <c r="F159" s="29" t="s">
        <v>8</v>
      </c>
      <c r="G159" s="29" t="s">
        <v>101</v>
      </c>
      <c r="H159" s="8" t="s">
        <v>437</v>
      </c>
      <c r="I159" s="29"/>
      <c r="J159" s="29">
        <v>2075</v>
      </c>
      <c r="K159" s="33" t="s">
        <v>437</v>
      </c>
      <c r="L159" s="32" t="str">
        <f t="shared" ref="L159:L170" si="14">+$B$3</f>
        <v>172.29.9.67</v>
      </c>
      <c r="M159" s="32">
        <f>J159+30000</f>
        <v>32075</v>
      </c>
      <c r="N159" s="32"/>
      <c r="O159" s="32"/>
      <c r="P159" s="32" t="s">
        <v>94</v>
      </c>
      <c r="Q159" s="49" t="s">
        <v>95</v>
      </c>
      <c r="R159" s="3" t="str">
        <f t="shared" si="9"/>
        <v>"36":{"rules":{"1":{"type":"con","dst_persist":"n","src":{"32075":{"raddr":"172.29.9.67:0","mhdr":"iBHb2","name":"NODO-01"}},"dst":{"mode":"server","raddr":"172.29.65.114:0","lport":"2075 iBHb2","name":"Finandina CR 1"},"plugin": {"file":"slb_plugin_rm_biciso.so","type":"RM","args": {"nodrop":"n"}}},</v>
      </c>
    </row>
    <row r="160" spans="1:18" ht="15" thickBot="1">
      <c r="A160" s="80"/>
      <c r="B160" s="7" t="s">
        <v>1409</v>
      </c>
      <c r="C160" s="7" t="s">
        <v>497</v>
      </c>
      <c r="D160" s="8">
        <v>2</v>
      </c>
      <c r="E160" s="8">
        <v>12802</v>
      </c>
      <c r="F160" s="8" t="s">
        <v>8</v>
      </c>
      <c r="G160" s="29" t="s">
        <v>101</v>
      </c>
      <c r="H160" s="8" t="s">
        <v>437</v>
      </c>
      <c r="I160" s="8"/>
      <c r="J160" s="8">
        <v>3075</v>
      </c>
      <c r="K160" s="33" t="s">
        <v>437</v>
      </c>
      <c r="L160" s="33" t="str">
        <f t="shared" si="14"/>
        <v>172.29.9.67</v>
      </c>
      <c r="M160" s="32">
        <f t="shared" ref="M160:M162" si="15">J160+30000</f>
        <v>33075</v>
      </c>
      <c r="N160" s="33"/>
      <c r="O160" s="33"/>
      <c r="P160" s="33" t="s">
        <v>94</v>
      </c>
      <c r="Q160" s="34" t="s">
        <v>95</v>
      </c>
      <c r="R160" s="3" t="str">
        <f t="shared" si="9"/>
        <v>"2":{"type":"con","dst_persist":"n","src":{"33075":{"raddr":"172.29.9.67:0","mhdr":"iBHb2","name":"NODO-01"}},"dst":{"mode":"server","raddr":"172.29.65.114:0","lport":"3075 iBHb2","name":"Finandina CR 2"},"plugin": {"file":"slb_plugin_rm_biciso.so","type":"RM","args": {"nodrop":"n"}}},</v>
      </c>
    </row>
    <row r="161" spans="1:18" ht="13" customHeight="1" thickBot="1">
      <c r="A161" s="80"/>
      <c r="B161" s="7" t="s">
        <v>1410</v>
      </c>
      <c r="C161" s="7" t="s">
        <v>497</v>
      </c>
      <c r="D161" s="8">
        <v>3</v>
      </c>
      <c r="E161" s="8">
        <v>12811</v>
      </c>
      <c r="F161" s="8" t="s">
        <v>8</v>
      </c>
      <c r="G161" s="8" t="s">
        <v>208</v>
      </c>
      <c r="H161" s="8" t="s">
        <v>437</v>
      </c>
      <c r="I161" s="8"/>
      <c r="J161" s="8">
        <v>4263</v>
      </c>
      <c r="K161" s="33" t="s">
        <v>437</v>
      </c>
      <c r="L161" s="33" t="str">
        <f t="shared" si="14"/>
        <v>172.29.9.67</v>
      </c>
      <c r="M161" s="32">
        <f t="shared" si="15"/>
        <v>34263</v>
      </c>
      <c r="N161" s="33"/>
      <c r="O161" s="33"/>
      <c r="P161" s="33" t="s">
        <v>94</v>
      </c>
      <c r="Q161" s="34" t="s">
        <v>95</v>
      </c>
      <c r="R161" s="3" t="str">
        <f t="shared" si="9"/>
        <v>"3":{"type":"con","dst_persist":"n","src":{"34263":{"raddr":"172.29.9.67:0","mhdr":"iBHb2","name":"NODO-01"}},"dst":{"mode":"server","raddr":"0.0.0.0:0","lport":"4263 iBHb2","name":"Finandina DR 1"},"plugin": {"file":"slb_plugin_rm_biciso.so","type":"RM","args": {"nodrop":"n"}}},</v>
      </c>
    </row>
    <row r="162" spans="1:18" ht="15" thickBot="1">
      <c r="A162" s="65"/>
      <c r="B162" s="16" t="s">
        <v>1411</v>
      </c>
      <c r="C162" s="16" t="s">
        <v>497</v>
      </c>
      <c r="D162" s="17">
        <v>4</v>
      </c>
      <c r="E162" s="17">
        <v>12812</v>
      </c>
      <c r="F162" s="17" t="s">
        <v>8</v>
      </c>
      <c r="G162" s="17" t="s">
        <v>208</v>
      </c>
      <c r="H162" s="8" t="s">
        <v>437</v>
      </c>
      <c r="I162" s="17"/>
      <c r="J162" s="17">
        <v>5263</v>
      </c>
      <c r="K162" s="33" t="s">
        <v>437</v>
      </c>
      <c r="L162" s="35" t="str">
        <f t="shared" si="14"/>
        <v>172.29.9.67</v>
      </c>
      <c r="M162" s="32">
        <f t="shared" si="15"/>
        <v>35263</v>
      </c>
      <c r="N162" s="35"/>
      <c r="O162" s="35"/>
      <c r="P162" s="35" t="s">
        <v>94</v>
      </c>
      <c r="Q162" s="36" t="s">
        <v>96</v>
      </c>
      <c r="R162" s="3" t="str">
        <f t="shared" si="9"/>
        <v>"4":{"type":"con","dst_persist":"n","src":{"35263":{"raddr":"172.29.9.67:0","mhdr":"iBHb2","name":"NODO-01"}},"dst":{"mode":"server","raddr":"0.0.0.0:0","lport":"5263 iBHb2","name":"Finandina DR 2"},"plugin": {"file":"slb_plugin_rm_biciso.so","type":"RM","args": {"nodrop":"n"}}}}},</v>
      </c>
    </row>
    <row r="163" spans="1:18" ht="15" thickBot="1">
      <c r="A163" s="111">
        <f>A159+1</f>
        <v>37</v>
      </c>
      <c r="B163" s="23" t="s">
        <v>1423</v>
      </c>
      <c r="C163" s="16" t="s">
        <v>497</v>
      </c>
      <c r="D163" s="29">
        <v>1</v>
      </c>
      <c r="E163" s="93"/>
      <c r="F163" s="29" t="s">
        <v>8</v>
      </c>
      <c r="G163" s="29" t="s">
        <v>1427</v>
      </c>
      <c r="H163" s="8" t="s">
        <v>437</v>
      </c>
      <c r="I163" s="29"/>
      <c r="J163" s="29">
        <v>2220</v>
      </c>
      <c r="K163" s="33" t="s">
        <v>437</v>
      </c>
      <c r="L163" s="32" t="str">
        <f t="shared" si="14"/>
        <v>172.29.9.67</v>
      </c>
      <c r="M163" s="32">
        <f>J163+30000</f>
        <v>32220</v>
      </c>
      <c r="N163" s="32"/>
      <c r="O163" s="32"/>
      <c r="P163" s="32" t="s">
        <v>94</v>
      </c>
      <c r="Q163" s="49" t="s">
        <v>95</v>
      </c>
      <c r="R163" s="3" t="str">
        <f t="shared" si="9"/>
        <v>"37":{"rules":{"1":{"type":"con","dst_persist":"n","src":{"32220":{"raddr":"172.29.9.67:0","mhdr":"iBHb2","name":"NODO-01"}},"dst":{"mode":"server","raddr":"10.95.6.254:0","lport":"2220 iBHb2","name":"Pto_red_in_01"},"plugin": {"file":"slb_plugin_rm_biciso.so","type":"RM","args": {"nodrop":"n"}}},</v>
      </c>
    </row>
    <row r="164" spans="1:18" ht="15" thickBot="1">
      <c r="A164" s="80"/>
      <c r="B164" s="7" t="s">
        <v>1424</v>
      </c>
      <c r="C164" s="16" t="s">
        <v>497</v>
      </c>
      <c r="D164" s="8">
        <v>2</v>
      </c>
      <c r="E164" s="43"/>
      <c r="F164" s="8" t="s">
        <v>8</v>
      </c>
      <c r="G164" s="8" t="s">
        <v>1427</v>
      </c>
      <c r="H164" s="8" t="s">
        <v>437</v>
      </c>
      <c r="I164" s="8"/>
      <c r="J164" s="8">
        <v>2221</v>
      </c>
      <c r="K164" s="33" t="s">
        <v>437</v>
      </c>
      <c r="L164" s="33" t="str">
        <f t="shared" si="14"/>
        <v>172.29.9.67</v>
      </c>
      <c r="M164" s="32">
        <f>J164+30000</f>
        <v>32221</v>
      </c>
      <c r="N164" s="33"/>
      <c r="O164" s="33"/>
      <c r="P164" s="33" t="s">
        <v>94</v>
      </c>
      <c r="Q164" s="34" t="s">
        <v>95</v>
      </c>
      <c r="R164" s="3" t="str">
        <f t="shared" si="9"/>
        <v>"2":{"type":"con","dst_persist":"n","src":{"32221":{"raddr":"172.29.9.67:0","mhdr":"iBHb2","name":"NODO-01"}},"dst":{"mode":"server","raddr":"10.95.6.254:0","lport":"2221 iBHb2","name":"Pto_red_in_02"},"plugin": {"file":"slb_plugin_rm_biciso.so","type":"RM","args": {"nodrop":"n"}}},</v>
      </c>
    </row>
    <row r="165" spans="1:18" ht="15" thickBot="1">
      <c r="A165" s="80"/>
      <c r="B165" s="7" t="s">
        <v>1425</v>
      </c>
      <c r="C165" s="16" t="s">
        <v>497</v>
      </c>
      <c r="D165" s="8">
        <v>3</v>
      </c>
      <c r="E165" s="43"/>
      <c r="F165" s="8" t="s">
        <v>14</v>
      </c>
      <c r="G165" s="8"/>
      <c r="H165" s="8" t="s">
        <v>437</v>
      </c>
      <c r="I165" s="8" t="s">
        <v>389</v>
      </c>
      <c r="J165" s="8">
        <v>2220</v>
      </c>
      <c r="K165" s="33" t="s">
        <v>437</v>
      </c>
      <c r="L165" s="33" t="str">
        <f t="shared" si="14"/>
        <v>172.29.9.67</v>
      </c>
      <c r="M165" s="33">
        <f>J165+50000</f>
        <v>52220</v>
      </c>
      <c r="N165" s="33"/>
      <c r="O165" s="33"/>
      <c r="P165" s="33" t="s">
        <v>94</v>
      </c>
      <c r="Q165" s="34" t="s">
        <v>95</v>
      </c>
      <c r="R165" s="3" t="str">
        <f t="shared" si="9"/>
        <v>"3":{"type":"con","dst_persist":"n","src":{"52220":{"raddr":"172.29.9.67:0","mhdr":"iBHb2","name":"NODO-01"}},"dst":{"mode":"client","raddr":"172.26.38.18:2220","mhdr":"iBHb2","name":"Pto_red_out_01"},"plugin": {"file":"slb_plugin_rm_biciso.so","type":"RM","args": {"nodrop":"n"}}},</v>
      </c>
    </row>
    <row r="166" spans="1:18" ht="15" thickBot="1">
      <c r="A166" s="65"/>
      <c r="B166" s="16" t="s">
        <v>1426</v>
      </c>
      <c r="C166" s="16" t="s">
        <v>497</v>
      </c>
      <c r="D166" s="17">
        <v>4</v>
      </c>
      <c r="E166" s="44"/>
      <c r="F166" s="17" t="s">
        <v>14</v>
      </c>
      <c r="G166" s="17"/>
      <c r="H166" s="8" t="s">
        <v>437</v>
      </c>
      <c r="I166" s="17" t="s">
        <v>389</v>
      </c>
      <c r="J166" s="17">
        <v>2221</v>
      </c>
      <c r="K166" s="33" t="s">
        <v>437</v>
      </c>
      <c r="L166" s="35" t="str">
        <f t="shared" si="14"/>
        <v>172.29.9.67</v>
      </c>
      <c r="M166" s="33">
        <f>J166+50000</f>
        <v>52221</v>
      </c>
      <c r="N166" s="35"/>
      <c r="O166" s="35"/>
      <c r="P166" s="35" t="s">
        <v>94</v>
      </c>
      <c r="Q166" s="36" t="s">
        <v>96</v>
      </c>
      <c r="R166" s="3" t="str">
        <f t="shared" si="9"/>
        <v>"4":{"type":"con","dst_persist":"n","src":{"52221":{"raddr":"172.29.9.67:0","mhdr":"iBHb2","name":"NODO-01"}},"dst":{"mode":"client","raddr":"172.26.38.18:2221","mhdr":"iBHb2","name":"Pto_red_out_02"},"plugin": {"file":"slb_plugin_rm_biciso.so","type":"RM","args": {"nodrop":"n"}}}}},</v>
      </c>
    </row>
    <row r="167" spans="1:18" ht="15" thickBot="1">
      <c r="A167" s="111">
        <f>A163+1</f>
        <v>38</v>
      </c>
      <c r="B167" s="23" t="s">
        <v>1434</v>
      </c>
      <c r="C167" s="16" t="s">
        <v>497</v>
      </c>
      <c r="D167" s="29">
        <v>1</v>
      </c>
      <c r="E167" s="93"/>
      <c r="F167" s="29" t="s">
        <v>8</v>
      </c>
      <c r="G167" s="29" t="s">
        <v>1438</v>
      </c>
      <c r="H167" s="8" t="s">
        <v>55</v>
      </c>
      <c r="I167" s="29"/>
      <c r="J167" s="29">
        <v>8520</v>
      </c>
      <c r="K167" s="33" t="s">
        <v>55</v>
      </c>
      <c r="L167" s="32" t="str">
        <f t="shared" si="14"/>
        <v>172.29.9.67</v>
      </c>
      <c r="M167" s="32">
        <f>J167+30000</f>
        <v>38520</v>
      </c>
      <c r="N167" s="32"/>
      <c r="O167" s="32"/>
      <c r="P167" s="32" t="s">
        <v>94</v>
      </c>
      <c r="Q167" s="49" t="s">
        <v>95</v>
      </c>
      <c r="R167" s="3" t="str">
        <f t="shared" si="9"/>
        <v>"38":{"rules":{"1":{"type":"con","dst_persist":"n","src":{"38520":{"raddr":"172.29.9.67:0","mhdr":"BHb2","name":"NODO-01"}},"dst":{"mode":"server","raddr":"192.168.101.9:0","lport":"8520 BHb2","name":"SUM_UP_in_01"},"plugin": {"file":"slb_plugin_rm_biciso.so","type":"RM","args": {"nodrop":"n"}}},</v>
      </c>
    </row>
    <row r="168" spans="1:18" ht="15" thickBot="1">
      <c r="A168" s="80"/>
      <c r="B168" s="7" t="s">
        <v>1435</v>
      </c>
      <c r="C168" s="16" t="s">
        <v>497</v>
      </c>
      <c r="D168" s="8">
        <v>2</v>
      </c>
      <c r="E168" s="43"/>
      <c r="F168" s="8" t="s">
        <v>8</v>
      </c>
      <c r="G168" s="8" t="s">
        <v>1438</v>
      </c>
      <c r="H168" s="8" t="s">
        <v>55</v>
      </c>
      <c r="I168" s="8"/>
      <c r="J168" s="8">
        <v>8521</v>
      </c>
      <c r="K168" s="33" t="s">
        <v>55</v>
      </c>
      <c r="L168" s="33" t="str">
        <f t="shared" si="14"/>
        <v>172.29.9.67</v>
      </c>
      <c r="M168" s="32">
        <f>J168+30000</f>
        <v>38521</v>
      </c>
      <c r="N168" s="33"/>
      <c r="O168" s="33"/>
      <c r="P168" s="33" t="s">
        <v>94</v>
      </c>
      <c r="Q168" s="34" t="s">
        <v>95</v>
      </c>
      <c r="R168" s="3" t="str">
        <f t="shared" ref="R168:R170" si="16">IF(C168="S",CONCATENATE(IF(A168&lt;&gt;"",CONCATENATE("""",A168,"""",":{","""","rules","""",":{"),""),"""",D168,""":{""type"":""con"",""dst_persist"":""n"",""src"":{""",M168,""":{""raddr"":""",L168,":0"",""mhdr"":""",K168,""",","""name""",":","""NODO-01","""}},","""dst"":{""mode"":""",F168,""",""raddr"":""",IF(F168="server",G168,I168),":",IF(F168="server",0,J168),""",""",IF(F168="server","lport","mhdr"),""":""",IF(F168="server",J168,""),IF(F168="server"," ",""),H168,""",","""name""",":","""",B168,IF(P168&lt;&gt;"",CONCATENATE("""},","""plugin""",": {","""file""",":""",P168,""",","""type""",":","""","RM""",",","""args""",": {","""nodrop""",":","""n""","}")),Q168),"")</f>
        <v>"2":{"type":"con","dst_persist":"n","src":{"38521":{"raddr":"172.29.9.67:0","mhdr":"BHb2","name":"NODO-01"}},"dst":{"mode":"server","raddr":"192.168.101.9:0","lport":"8521 BHb2","name":"SUM_UP_in_02"},"plugin": {"file":"slb_plugin_rm_biciso.so","type":"RM","args": {"nodrop":"n"}}},</v>
      </c>
    </row>
    <row r="169" spans="1:18" ht="15" thickBot="1">
      <c r="A169" s="80"/>
      <c r="B169" s="7" t="s">
        <v>1436</v>
      </c>
      <c r="C169" s="16" t="s">
        <v>497</v>
      </c>
      <c r="D169" s="8">
        <v>3</v>
      </c>
      <c r="E169" s="43"/>
      <c r="F169" s="8" t="s">
        <v>14</v>
      </c>
      <c r="G169" s="8"/>
      <c r="H169" s="8" t="s">
        <v>55</v>
      </c>
      <c r="I169" s="8" t="s">
        <v>389</v>
      </c>
      <c r="J169" s="8">
        <v>8520</v>
      </c>
      <c r="K169" s="33" t="s">
        <v>55</v>
      </c>
      <c r="L169" s="33" t="str">
        <f t="shared" si="14"/>
        <v>172.29.9.67</v>
      </c>
      <c r="M169" s="33">
        <f>J169+50000</f>
        <v>58520</v>
      </c>
      <c r="N169" s="33"/>
      <c r="O169" s="33"/>
      <c r="P169" s="33" t="s">
        <v>94</v>
      </c>
      <c r="Q169" s="34" t="s">
        <v>95</v>
      </c>
      <c r="R169" s="3" t="str">
        <f t="shared" si="16"/>
        <v>"3":{"type":"con","dst_persist":"n","src":{"58520":{"raddr":"172.29.9.67:0","mhdr":"BHb2","name":"NODO-01"}},"dst":{"mode":"client","raddr":"172.26.38.18:8520","mhdr":"BHb2","name":"SUM_UP_out_01"},"plugin": {"file":"slb_plugin_rm_biciso.so","type":"RM","args": {"nodrop":"n"}}},</v>
      </c>
    </row>
    <row r="170" spans="1:18" ht="15" thickBot="1">
      <c r="A170" s="65"/>
      <c r="B170" s="16" t="s">
        <v>1437</v>
      </c>
      <c r="C170" s="16" t="s">
        <v>497</v>
      </c>
      <c r="D170" s="17">
        <v>4</v>
      </c>
      <c r="E170" s="44"/>
      <c r="F170" s="17" t="s">
        <v>14</v>
      </c>
      <c r="G170" s="17"/>
      <c r="H170" s="8" t="s">
        <v>55</v>
      </c>
      <c r="I170" s="17" t="s">
        <v>389</v>
      </c>
      <c r="J170" s="17">
        <v>8521</v>
      </c>
      <c r="K170" s="33" t="s">
        <v>55</v>
      </c>
      <c r="L170" s="35" t="str">
        <f t="shared" si="14"/>
        <v>172.29.9.67</v>
      </c>
      <c r="M170" s="33">
        <f>J170+50000</f>
        <v>58521</v>
      </c>
      <c r="N170" s="35"/>
      <c r="O170" s="35"/>
      <c r="P170" s="35" t="s">
        <v>94</v>
      </c>
      <c r="Q170" s="36" t="s">
        <v>126</v>
      </c>
      <c r="R170" s="3" t="str">
        <f t="shared" si="16"/>
        <v>"4":{"type":"con","dst_persist":"n","src":{"58521":{"raddr":"172.29.9.67:0","mhdr":"BHb2","name":"NODO-01"}},"dst":{"mode":"client","raddr":"172.26.38.18:8521","mhdr":"BHb2","name":"SUM_UP_out_02"},"plugin": {"file":"slb_plugin_rm_biciso.so","type":"RM","args": {"nodrop":"n"}}}}}</v>
      </c>
    </row>
    <row r="171" spans="1:18">
      <c r="A171" s="20"/>
      <c r="C171" s="21"/>
      <c r="D171" s="21"/>
      <c r="E171" s="22"/>
      <c r="F171" s="21"/>
      <c r="K171" s="21"/>
      <c r="L171" s="21"/>
      <c r="M171" s="21"/>
      <c r="N171" s="21"/>
      <c r="O171" s="21"/>
      <c r="P171" s="21"/>
      <c r="Q171" s="39"/>
      <c r="R171" s="21" t="s">
        <v>0</v>
      </c>
    </row>
    <row r="172" spans="1:18">
      <c r="A172" s="20"/>
      <c r="B172" s="1" t="s">
        <v>501</v>
      </c>
      <c r="C172" s="21"/>
      <c r="D172" s="21"/>
      <c r="E172" s="22"/>
      <c r="F172" s="21"/>
      <c r="K172" s="21"/>
      <c r="L172" s="21"/>
      <c r="M172" s="21"/>
      <c r="N172" s="21"/>
      <c r="O172" s="21"/>
      <c r="P172" s="21"/>
      <c r="Q172" s="55"/>
      <c r="R172" s="21"/>
    </row>
    <row r="173" spans="1:18">
      <c r="A173" s="1" t="s">
        <v>1</v>
      </c>
      <c r="B173" t="s">
        <v>2</v>
      </c>
    </row>
    <row r="174" spans="1:18">
      <c r="A174" s="1" t="s">
        <v>3</v>
      </c>
      <c r="B174" t="s">
        <v>5</v>
      </c>
      <c r="R174" s="3"/>
    </row>
    <row r="175" spans="1:18">
      <c r="A175" s="1" t="s">
        <v>4</v>
      </c>
      <c r="B175" t="s">
        <v>6</v>
      </c>
      <c r="R175" s="3"/>
    </row>
    <row r="176" spans="1:18" ht="44" thickBot="1">
      <c r="A176" s="107" t="s">
        <v>79</v>
      </c>
      <c r="B176" s="107" t="s">
        <v>9</v>
      </c>
      <c r="C176" s="107" t="s">
        <v>499</v>
      </c>
      <c r="D176" s="107" t="s">
        <v>7</v>
      </c>
      <c r="E176" s="107" t="s">
        <v>58</v>
      </c>
      <c r="F176" s="107" t="s">
        <v>27</v>
      </c>
      <c r="G176" s="107" t="s">
        <v>11</v>
      </c>
      <c r="H176" s="108" t="s">
        <v>61</v>
      </c>
      <c r="I176" s="107" t="s">
        <v>12</v>
      </c>
      <c r="J176" s="107" t="s">
        <v>15</v>
      </c>
      <c r="K176" s="108" t="s">
        <v>62</v>
      </c>
      <c r="L176" s="107" t="s">
        <v>23</v>
      </c>
      <c r="M176" s="107" t="s">
        <v>25</v>
      </c>
      <c r="N176" s="107" t="s">
        <v>24</v>
      </c>
      <c r="O176" s="107" t="s">
        <v>26</v>
      </c>
      <c r="P176" s="107" t="s">
        <v>93</v>
      </c>
      <c r="Q176" s="108" t="s">
        <v>54</v>
      </c>
      <c r="R176" s="3" t="str">
        <f>CONCATENATE("{""",B173,""":{""routers"":{")</f>
        <v>{"172.29.12.67":{"routers":{</v>
      </c>
    </row>
    <row r="177" spans="1:18">
      <c r="A177" s="9">
        <v>1</v>
      </c>
      <c r="B177" s="10" t="s">
        <v>19</v>
      </c>
      <c r="C177" s="10" t="s">
        <v>497</v>
      </c>
      <c r="D177" s="11">
        <v>1</v>
      </c>
      <c r="E177" s="11" t="s">
        <v>259</v>
      </c>
      <c r="F177" s="11" t="s">
        <v>14</v>
      </c>
      <c r="G177" s="11"/>
      <c r="H177" s="11" t="s">
        <v>55</v>
      </c>
      <c r="I177" s="11" t="s">
        <v>767</v>
      </c>
      <c r="J177" s="11">
        <v>6034</v>
      </c>
      <c r="K177" s="32" t="s">
        <v>55</v>
      </c>
      <c r="L177" s="32" t="str">
        <f>+$B$174</f>
        <v>172.29.12.69</v>
      </c>
      <c r="M177" s="32">
        <v>30005</v>
      </c>
      <c r="N177" s="32" t="str">
        <f>+$B$175</f>
        <v>172.29.12.68</v>
      </c>
      <c r="O177" s="32">
        <f>+M177+10000</f>
        <v>40005</v>
      </c>
      <c r="P177" s="32" t="s">
        <v>141</v>
      </c>
      <c r="Q177" s="49" t="s">
        <v>95</v>
      </c>
      <c r="R177" s="3" t="str">
        <f>CONCATENATE(IF(A177&lt;&gt;"",CONCATENATE("""",A177,"""",":{","""","rules","""",":{"),""),"""",D177,""":{""type"":""con"",""src"":{""",M177,""":{""raddr"":""",L177,":0"",""mhdr"":""",K177,""",","""name""",":","""NODO-01","""},""",O177,""":{""raddr"":""",N177,":0"",""mhdr"":""",K177,""",","""name""",":","""NODO-02","""}},","""dst"":{""mode"":""",F177,""",""raddr"":""",IF(F177="server",G177,I177),":",IF(F177="server",0,J177),""",""",IF(F177="server","lport","mhdr"),""":""",IF(F177="server",J177,""),IF(F177="server"," ",""),K177,""",","""name""",":","""",B177,IF(P177&lt;&gt;"",CONCATENATE("""},","""plugin""",": {","""file""",":""",P177,""",","""type""",":","""","RM",""""),""""),Q177)</f>
        <v>"1":{"rules":{"1":{"type":"con","src":{"30005":{"raddr":"172.29.12.69:0","mhdr":"BHb2","name":"NODO-01"},"40005":{"raddr":"172.29.12.68:0","mhdr":"BHb2","name":"NODO-02"}},"dst":{"mode":"client","raddr":"172.19.207.36:6034","mhdr":"BHb2","name":"MASTERCARD BNET PT Out 1"},"plugin": {"file":"slb_plugin_rm_mc.so","type":"RM"}},</v>
      </c>
    </row>
    <row r="178" spans="1:18">
      <c r="A178" s="12"/>
      <c r="B178" s="2" t="s">
        <v>21</v>
      </c>
      <c r="C178" s="2" t="s">
        <v>497</v>
      </c>
      <c r="D178" s="6">
        <v>2</v>
      </c>
      <c r="E178" s="6" t="s">
        <v>260</v>
      </c>
      <c r="F178" s="6" t="s">
        <v>14</v>
      </c>
      <c r="G178" s="6"/>
      <c r="H178" s="6" t="s">
        <v>55</v>
      </c>
      <c r="I178" s="6" t="s">
        <v>1252</v>
      </c>
      <c r="J178" s="6">
        <v>7034</v>
      </c>
      <c r="K178" s="33" t="s">
        <v>55</v>
      </c>
      <c r="L178" s="33" t="str">
        <f t="shared" ref="L178:L255" si="17">+$B$174</f>
        <v>172.29.12.69</v>
      </c>
      <c r="M178" s="33">
        <v>30006</v>
      </c>
      <c r="N178" s="33" t="str">
        <f t="shared" ref="N178:N255" si="18">+$B$175</f>
        <v>172.29.12.68</v>
      </c>
      <c r="O178" s="33">
        <f t="shared" ref="O178:O274" si="19">+M178+10000</f>
        <v>40006</v>
      </c>
      <c r="P178" s="33" t="s">
        <v>141</v>
      </c>
      <c r="Q178" s="34" t="s">
        <v>95</v>
      </c>
      <c r="R178" s="3" t="str">
        <f t="shared" ref="R178:R255" si="20">CONCATENATE(IF(A178&lt;&gt;"",CONCATENATE("""",A178,"""",":{","""","rules","""",":{"),""),"""",D178,""":{""type"":""con"",""src"":{""",M178,""":{""raddr"":""",L178,":0"",""mhdr"":""",K178,""",","""name""",":","""NODO-01","""},""",O178,""":{""raddr"":""",N178,":0"",""mhdr"":""",K178,""",","""name""",":","""NODO-02","""}},","""dst"":{""mode"":""",F178,""",""raddr"":""",IF(F178="server",G178,I178),":",IF(F178="server",0,J178),""",""",IF(F178="server","lport","mhdr"),""":""",IF(F178="server",J178,""),IF(F178="server"," ",""),K178,""",","""name""",":","""",B178,IF(P178&lt;&gt;"",CONCATENATE("""},","""plugin""",": {","""file""",":""",P178,""",","""type""",":","""","RM",""""),""""),Q178)</f>
        <v>"2":{"type":"con","src":{"30006":{"raddr":"172.29.12.69:0","mhdr":"BHb2","name":"NODO-01"},"40006":{"raddr":"172.29.12.68:0","mhdr":"BHb2","name":"NODO-02"}},"dst":{"mode":"client","raddr":"172.26.119.176:7034","mhdr":"BHb2","name":"MASTERCARD BNET PT Out 2"},"plugin": {"file":"slb_plugin_rm_mc.so","type":"RM"}},</v>
      </c>
    </row>
    <row r="179" spans="1:18">
      <c r="A179" s="12"/>
      <c r="B179" s="2" t="s">
        <v>137</v>
      </c>
      <c r="C179" s="2" t="s">
        <v>497</v>
      </c>
      <c r="D179" s="6">
        <v>3</v>
      </c>
      <c r="E179" s="6" t="s">
        <v>262</v>
      </c>
      <c r="F179" s="6" t="s">
        <v>14</v>
      </c>
      <c r="G179" s="6"/>
      <c r="H179" s="6" t="s">
        <v>55</v>
      </c>
      <c r="I179" s="6" t="s">
        <v>767</v>
      </c>
      <c r="J179" s="6">
        <v>6005</v>
      </c>
      <c r="K179" s="33" t="s">
        <v>55</v>
      </c>
      <c r="L179" s="33" t="str">
        <f t="shared" si="17"/>
        <v>172.29.12.69</v>
      </c>
      <c r="M179" s="33">
        <v>30007</v>
      </c>
      <c r="N179" s="33" t="str">
        <f t="shared" si="18"/>
        <v>172.29.12.68</v>
      </c>
      <c r="O179" s="33">
        <f t="shared" si="19"/>
        <v>40007</v>
      </c>
      <c r="P179" s="33" t="s">
        <v>141</v>
      </c>
      <c r="Q179" s="34" t="s">
        <v>95</v>
      </c>
      <c r="R179" s="3" t="str">
        <f t="shared" si="20"/>
        <v>"3":{"type":"con","src":{"30007":{"raddr":"172.29.12.69:0","mhdr":"BHb2","name":"NODO-01"},"40007":{"raddr":"172.29.12.68:0","mhdr":"BHb2","name":"NODO-02"}},"dst":{"mode":"client","raddr":"172.19.207.36:6005","mhdr":"BHb2","name":"MASTERCARD MDS NEW PT Out 1"},"plugin": {"file":"slb_plugin_rm_mc.so","type":"RM"}},</v>
      </c>
    </row>
    <row r="180" spans="1:18" ht="15" thickBot="1">
      <c r="A180" s="13"/>
      <c r="B180" s="14" t="s">
        <v>138</v>
      </c>
      <c r="C180" s="14" t="s">
        <v>497</v>
      </c>
      <c r="D180" s="15">
        <v>4</v>
      </c>
      <c r="E180" s="15" t="s">
        <v>261</v>
      </c>
      <c r="F180" s="15" t="s">
        <v>14</v>
      </c>
      <c r="G180" s="15"/>
      <c r="H180" s="15" t="s">
        <v>55</v>
      </c>
      <c r="I180" s="15" t="s">
        <v>1252</v>
      </c>
      <c r="J180" s="15">
        <v>7005</v>
      </c>
      <c r="K180" s="35" t="s">
        <v>55</v>
      </c>
      <c r="L180" s="35" t="str">
        <f t="shared" si="17"/>
        <v>172.29.12.69</v>
      </c>
      <c r="M180" s="35">
        <v>30008</v>
      </c>
      <c r="N180" s="35" t="str">
        <f t="shared" si="18"/>
        <v>172.29.12.68</v>
      </c>
      <c r="O180" s="35">
        <f t="shared" si="19"/>
        <v>40008</v>
      </c>
      <c r="P180" s="35" t="s">
        <v>141</v>
      </c>
      <c r="Q180" s="36" t="s">
        <v>96</v>
      </c>
      <c r="R180" s="3" t="str">
        <f t="shared" si="20"/>
        <v>"4":{"type":"con","src":{"30008":{"raddr":"172.29.12.69:0","mhdr":"BHb2","name":"NODO-01"},"40008":{"raddr":"172.29.12.68:0","mhdr":"BHb2","name":"NODO-02"}},"dst":{"mode":"client","raddr":"172.26.119.176:7005","mhdr":"BHb2","name":"MASTERCARD MDS NEW PT Out 2"},"plugin": {"file":"slb_plugin_rm_mc.so","type":"RM"}}}},</v>
      </c>
    </row>
    <row r="181" spans="1:18">
      <c r="A181" s="92">
        <v>2</v>
      </c>
      <c r="B181" s="10" t="s">
        <v>133</v>
      </c>
      <c r="C181" s="10" t="s">
        <v>497</v>
      </c>
      <c r="D181" s="11">
        <v>1</v>
      </c>
      <c r="E181" s="11" t="s">
        <v>263</v>
      </c>
      <c r="F181" s="11" t="s">
        <v>8</v>
      </c>
      <c r="G181" s="11" t="s">
        <v>13</v>
      </c>
      <c r="H181" s="11" t="s">
        <v>437</v>
      </c>
      <c r="I181" s="11"/>
      <c r="J181" s="11">
        <v>35903</v>
      </c>
      <c r="K181" s="32" t="s">
        <v>437</v>
      </c>
      <c r="L181" s="32" t="str">
        <f t="shared" si="17"/>
        <v>172.29.12.69</v>
      </c>
      <c r="M181" s="32">
        <v>30010</v>
      </c>
      <c r="N181" s="32" t="str">
        <f t="shared" si="18"/>
        <v>172.29.12.68</v>
      </c>
      <c r="O181" s="32">
        <f t="shared" si="19"/>
        <v>40010</v>
      </c>
      <c r="P181" s="32" t="s">
        <v>136</v>
      </c>
      <c r="Q181" s="49" t="s">
        <v>95</v>
      </c>
      <c r="R181" s="3" t="str">
        <f t="shared" si="20"/>
        <v>"2":{"rules":{"1":{"type":"con","src":{"30010":{"raddr":"172.29.12.69:0","mhdr":"iBHb2","name":"NODO-01"},"40010":{"raddr":"172.29.12.68:0","mhdr":"iBHb2","name":"NODO-02"}},"dst":{"mode":"server","raddr":"172.19.207.40:0","lport":"35903 iBHb2","name":"AMEX COLPATRIA PT In 1"},"plugin": {"file":"slb_plugin_rm_amex.so","type":"RM"}},</v>
      </c>
    </row>
    <row r="182" spans="1:18">
      <c r="A182" s="63"/>
      <c r="B182" s="2" t="s">
        <v>134</v>
      </c>
      <c r="C182" s="2" t="s">
        <v>497</v>
      </c>
      <c r="D182" s="6">
        <v>2</v>
      </c>
      <c r="E182" s="6" t="s">
        <v>264</v>
      </c>
      <c r="F182" s="6" t="s">
        <v>8</v>
      </c>
      <c r="G182" s="6" t="s">
        <v>13</v>
      </c>
      <c r="H182" s="6" t="s">
        <v>437</v>
      </c>
      <c r="I182" s="6"/>
      <c r="J182" s="6">
        <v>35904</v>
      </c>
      <c r="K182" s="33" t="s">
        <v>437</v>
      </c>
      <c r="L182" s="33" t="str">
        <f t="shared" si="17"/>
        <v>172.29.12.69</v>
      </c>
      <c r="M182" s="33">
        <v>30020</v>
      </c>
      <c r="N182" s="33" t="str">
        <f t="shared" si="18"/>
        <v>172.29.12.68</v>
      </c>
      <c r="O182" s="33">
        <f t="shared" si="19"/>
        <v>40020</v>
      </c>
      <c r="P182" s="33" t="s">
        <v>136</v>
      </c>
      <c r="Q182" s="34" t="s">
        <v>95</v>
      </c>
      <c r="R182" s="3" t="str">
        <f t="shared" si="20"/>
        <v>"2":{"type":"con","src":{"30020":{"raddr":"172.29.12.69:0","mhdr":"iBHb2","name":"NODO-01"},"40020":{"raddr":"172.29.12.68:0","mhdr":"iBHb2","name":"NODO-02"}},"dst":{"mode":"server","raddr":"172.19.207.40:0","lport":"35904 iBHb2","name":"AMEX COLPATRIA PT In 2"},"plugin": {"file":"slb_plugin_rm_amex.so","type":"RM"}},</v>
      </c>
    </row>
    <row r="183" spans="1:18">
      <c r="A183" s="63"/>
      <c r="B183" s="2" t="s">
        <v>32</v>
      </c>
      <c r="C183" s="2" t="s">
        <v>497</v>
      </c>
      <c r="D183" s="6">
        <v>3</v>
      </c>
      <c r="E183" s="6" t="s">
        <v>265</v>
      </c>
      <c r="F183" s="6" t="s">
        <v>14</v>
      </c>
      <c r="G183" s="6"/>
      <c r="H183" s="6" t="s">
        <v>437</v>
      </c>
      <c r="I183" s="6" t="s">
        <v>135</v>
      </c>
      <c r="J183" s="6">
        <v>35903</v>
      </c>
      <c r="K183" s="33" t="s">
        <v>437</v>
      </c>
      <c r="L183" s="33" t="str">
        <f t="shared" si="17"/>
        <v>172.29.12.69</v>
      </c>
      <c r="M183" s="33">
        <v>30070</v>
      </c>
      <c r="N183" s="33" t="str">
        <f t="shared" si="18"/>
        <v>172.29.12.68</v>
      </c>
      <c r="O183" s="33">
        <f t="shared" si="19"/>
        <v>40070</v>
      </c>
      <c r="P183" s="33" t="s">
        <v>136</v>
      </c>
      <c r="Q183" s="34" t="s">
        <v>95</v>
      </c>
      <c r="R183" s="3" t="str">
        <f t="shared" si="20"/>
        <v>"3":{"type":"con","src":{"30070":{"raddr":"172.29.12.69:0","mhdr":"iBHb2","name":"NODO-01"},"40070":{"raddr":"172.29.12.68:0","mhdr":"iBHb2","name":"NODO-02"}},"dst":{"mode":"client","raddr":"172.19.209.58:35903","mhdr":"iBHb2","name":"AMEX COLPATRIA PT Out 1"},"plugin": {"file":"slb_plugin_rm_amex.so","type":"RM"}},</v>
      </c>
    </row>
    <row r="184" spans="1:18" ht="15" thickBot="1">
      <c r="A184" s="64"/>
      <c r="B184" s="14" t="s">
        <v>33</v>
      </c>
      <c r="C184" s="14" t="s">
        <v>497</v>
      </c>
      <c r="D184" s="15">
        <v>4</v>
      </c>
      <c r="E184" s="15" t="s">
        <v>266</v>
      </c>
      <c r="F184" s="15" t="s">
        <v>14</v>
      </c>
      <c r="G184" s="15"/>
      <c r="H184" s="15" t="s">
        <v>437</v>
      </c>
      <c r="I184" s="15" t="s">
        <v>135</v>
      </c>
      <c r="J184" s="15">
        <v>35904</v>
      </c>
      <c r="K184" s="35" t="s">
        <v>437</v>
      </c>
      <c r="L184" s="35" t="str">
        <f t="shared" si="17"/>
        <v>172.29.12.69</v>
      </c>
      <c r="M184" s="35">
        <v>30080</v>
      </c>
      <c r="N184" s="35" t="str">
        <f t="shared" si="18"/>
        <v>172.29.12.68</v>
      </c>
      <c r="O184" s="35">
        <f t="shared" si="19"/>
        <v>40080</v>
      </c>
      <c r="P184" s="35" t="s">
        <v>136</v>
      </c>
      <c r="Q184" s="36" t="s">
        <v>96</v>
      </c>
      <c r="R184" s="3" t="str">
        <f t="shared" si="20"/>
        <v>"4":{"type":"con","src":{"30080":{"raddr":"172.29.12.69:0","mhdr":"iBHb2","name":"NODO-01"},"40080":{"raddr":"172.29.12.68:0","mhdr":"iBHb2","name":"NODO-02"}},"dst":{"mode":"client","raddr":"172.19.209.58:35904","mhdr":"iBHb2","name":"AMEX COLPATRIA PT Out 2"},"plugin": {"file":"slb_plugin_rm_amex.so","type":"RM"}}}},</v>
      </c>
    </row>
    <row r="185" spans="1:18">
      <c r="A185" s="92">
        <v>3</v>
      </c>
      <c r="B185" s="23" t="s">
        <v>28</v>
      </c>
      <c r="C185" s="10" t="s">
        <v>497</v>
      </c>
      <c r="D185" s="11">
        <v>1</v>
      </c>
      <c r="E185" s="11" t="s">
        <v>255</v>
      </c>
      <c r="F185" s="11" t="s">
        <v>8</v>
      </c>
      <c r="G185" s="11" t="s">
        <v>13</v>
      </c>
      <c r="H185" s="11" t="s">
        <v>437</v>
      </c>
      <c r="I185" s="11"/>
      <c r="J185" s="11">
        <v>35168</v>
      </c>
      <c r="K185" s="32" t="s">
        <v>437</v>
      </c>
      <c r="L185" s="32" t="str">
        <f t="shared" si="17"/>
        <v>172.29.12.69</v>
      </c>
      <c r="M185" s="32">
        <v>30030</v>
      </c>
      <c r="N185" s="32" t="str">
        <f t="shared" si="18"/>
        <v>172.29.12.68</v>
      </c>
      <c r="O185" s="32">
        <f t="shared" si="19"/>
        <v>40030</v>
      </c>
      <c r="P185" s="32" t="s">
        <v>136</v>
      </c>
      <c r="Q185" s="49" t="s">
        <v>95</v>
      </c>
      <c r="R185" s="3" t="str">
        <f t="shared" si="20"/>
        <v>"3":{"rules":{"1":{"type":"con","src":{"30030":{"raddr":"172.29.12.69:0","mhdr":"iBHb2","name":"NODO-01"},"40030":{"raddr":"172.29.12.68:0","mhdr":"iBHb2","name":"NODO-02"}},"dst":{"mode":"server","raddr":"172.19.207.40:0","lport":"35168 iBHb2","name":"AMEX BANCOLOMBIA EMISOR PT In 1"},"plugin": {"file":"slb_plugin_rm_amex.so","type":"RM"}},</v>
      </c>
    </row>
    <row r="186" spans="1:18">
      <c r="A186" s="63"/>
      <c r="B186" s="7" t="s">
        <v>29</v>
      </c>
      <c r="C186" s="2" t="s">
        <v>497</v>
      </c>
      <c r="D186" s="6">
        <v>2</v>
      </c>
      <c r="E186" s="6" t="s">
        <v>256</v>
      </c>
      <c r="F186" s="6" t="s">
        <v>8</v>
      </c>
      <c r="G186" s="6" t="s">
        <v>13</v>
      </c>
      <c r="H186" s="6" t="s">
        <v>437</v>
      </c>
      <c r="I186" s="6"/>
      <c r="J186" s="6">
        <v>35169</v>
      </c>
      <c r="K186" s="33" t="s">
        <v>437</v>
      </c>
      <c r="L186" s="33" t="str">
        <f t="shared" si="17"/>
        <v>172.29.12.69</v>
      </c>
      <c r="M186" s="33">
        <v>30040</v>
      </c>
      <c r="N186" s="33" t="str">
        <f t="shared" si="18"/>
        <v>172.29.12.68</v>
      </c>
      <c r="O186" s="33">
        <f t="shared" si="19"/>
        <v>40040</v>
      </c>
      <c r="P186" s="33" t="s">
        <v>136</v>
      </c>
      <c r="Q186" s="34" t="s">
        <v>95</v>
      </c>
      <c r="R186" s="3" t="str">
        <f t="shared" si="20"/>
        <v>"2":{"type":"con","src":{"30040":{"raddr":"172.29.12.69:0","mhdr":"iBHb2","name":"NODO-01"},"40040":{"raddr":"172.29.12.68:0","mhdr":"iBHb2","name":"NODO-02"}},"dst":{"mode":"server","raddr":"172.19.207.40:0","lport":"35169 iBHb2","name":"AMEX BANCOLOMBIA EMISOR PT In 2"},"plugin": {"file":"slb_plugin_rm_amex.so","type":"RM"}},</v>
      </c>
    </row>
    <row r="187" spans="1:18">
      <c r="A187" s="63"/>
      <c r="B187" s="7" t="s">
        <v>30</v>
      </c>
      <c r="C187" s="2" t="s">
        <v>497</v>
      </c>
      <c r="D187" s="6">
        <v>3</v>
      </c>
      <c r="E187" s="8" t="s">
        <v>257</v>
      </c>
      <c r="F187" s="8" t="s">
        <v>8</v>
      </c>
      <c r="G187" s="6" t="s">
        <v>13</v>
      </c>
      <c r="H187" s="6" t="s">
        <v>437</v>
      </c>
      <c r="I187" s="8"/>
      <c r="J187" s="8">
        <v>30094</v>
      </c>
      <c r="K187" s="33" t="s">
        <v>437</v>
      </c>
      <c r="L187" s="33" t="str">
        <f t="shared" si="17"/>
        <v>172.29.12.69</v>
      </c>
      <c r="M187" s="33">
        <v>30050</v>
      </c>
      <c r="N187" s="33" t="str">
        <f t="shared" si="18"/>
        <v>172.29.12.68</v>
      </c>
      <c r="O187" s="33">
        <f t="shared" si="19"/>
        <v>40050</v>
      </c>
      <c r="P187" s="33" t="s">
        <v>136</v>
      </c>
      <c r="Q187" s="34" t="s">
        <v>95</v>
      </c>
      <c r="R187" s="3" t="str">
        <f t="shared" si="20"/>
        <v>"3":{"type":"con","src":{"30050":{"raddr":"172.29.12.69:0","mhdr":"iBHb2","name":"NODO-01"},"40050":{"raddr":"172.29.12.68:0","mhdr":"iBHb2","name":"NODO-02"}},"dst":{"mode":"server","raddr":"172.19.207.40:0","lport":"30094 iBHb2","name":"AMEX BANCOLOMBIA ADQUIRIENTE PT In 1"},"plugin": {"file":"slb_plugin_rm_amex.so","type":"RM"}},</v>
      </c>
    </row>
    <row r="188" spans="1:18">
      <c r="A188" s="63"/>
      <c r="B188" s="7" t="s">
        <v>31</v>
      </c>
      <c r="C188" s="2" t="s">
        <v>497</v>
      </c>
      <c r="D188" s="6">
        <v>4</v>
      </c>
      <c r="E188" s="8" t="s">
        <v>258</v>
      </c>
      <c r="F188" s="8" t="s">
        <v>8</v>
      </c>
      <c r="G188" s="6" t="s">
        <v>13</v>
      </c>
      <c r="H188" s="6" t="s">
        <v>437</v>
      </c>
      <c r="I188" s="8"/>
      <c r="J188" s="8">
        <v>30095</v>
      </c>
      <c r="K188" s="33" t="s">
        <v>437</v>
      </c>
      <c r="L188" s="33" t="str">
        <f t="shared" si="17"/>
        <v>172.29.12.69</v>
      </c>
      <c r="M188" s="33">
        <v>30060</v>
      </c>
      <c r="N188" s="33" t="str">
        <f t="shared" si="18"/>
        <v>172.29.12.68</v>
      </c>
      <c r="O188" s="33">
        <f t="shared" si="19"/>
        <v>40060</v>
      </c>
      <c r="P188" s="33" t="s">
        <v>136</v>
      </c>
      <c r="Q188" s="34" t="s">
        <v>95</v>
      </c>
      <c r="R188" s="3" t="str">
        <f t="shared" si="20"/>
        <v>"4":{"type":"con","src":{"30060":{"raddr":"172.29.12.69:0","mhdr":"iBHb2","name":"NODO-01"},"40060":{"raddr":"172.29.12.68:0","mhdr":"iBHb2","name":"NODO-02"}},"dst":{"mode":"server","raddr":"172.19.207.40:0","lport":"30095 iBHb2","name":"AMEX BANCOLOMBIA ADQUIRIENTE PT In 2"},"plugin": {"file":"slb_plugin_rm_amex.so","type":"RM"}},</v>
      </c>
    </row>
    <row r="189" spans="1:18">
      <c r="A189" s="63"/>
      <c r="B189" s="7" t="s">
        <v>34</v>
      </c>
      <c r="C189" s="2" t="s">
        <v>497</v>
      </c>
      <c r="D189" s="6">
        <v>5</v>
      </c>
      <c r="E189" s="8" t="s">
        <v>267</v>
      </c>
      <c r="F189" s="8" t="s">
        <v>14</v>
      </c>
      <c r="G189" s="8"/>
      <c r="H189" s="8" t="s">
        <v>437</v>
      </c>
      <c r="I189" s="8" t="s">
        <v>135</v>
      </c>
      <c r="J189" s="6">
        <v>35168</v>
      </c>
      <c r="K189" s="33" t="s">
        <v>437</v>
      </c>
      <c r="L189" s="33" t="str">
        <f t="shared" si="17"/>
        <v>172.29.12.69</v>
      </c>
      <c r="M189" s="33">
        <v>30090</v>
      </c>
      <c r="N189" s="33" t="str">
        <f t="shared" si="18"/>
        <v>172.29.12.68</v>
      </c>
      <c r="O189" s="33">
        <f t="shared" si="19"/>
        <v>40090</v>
      </c>
      <c r="P189" s="33" t="s">
        <v>136</v>
      </c>
      <c r="Q189" s="34" t="s">
        <v>95</v>
      </c>
      <c r="R189" s="3" t="str">
        <f t="shared" si="20"/>
        <v>"5":{"type":"con","src":{"30090":{"raddr":"172.29.12.69:0","mhdr":"iBHb2","name":"NODO-01"},"40090":{"raddr":"172.29.12.68:0","mhdr":"iBHb2","name":"NODO-02"}},"dst":{"mode":"client","raddr":"172.19.209.58:35168","mhdr":"iBHb2","name":"AMEX BANCOLOMBIA EMISOR PT Out 1"},"plugin": {"file":"slb_plugin_rm_amex.so","type":"RM"}},</v>
      </c>
    </row>
    <row r="190" spans="1:18">
      <c r="A190" s="63"/>
      <c r="B190" s="7" t="s">
        <v>35</v>
      </c>
      <c r="C190" s="2" t="s">
        <v>497</v>
      </c>
      <c r="D190" s="6">
        <v>6</v>
      </c>
      <c r="E190" s="8" t="s">
        <v>268</v>
      </c>
      <c r="F190" s="8" t="s">
        <v>14</v>
      </c>
      <c r="G190" s="8"/>
      <c r="H190" s="8" t="s">
        <v>437</v>
      </c>
      <c r="I190" s="8" t="s">
        <v>135</v>
      </c>
      <c r="J190" s="6">
        <v>35169</v>
      </c>
      <c r="K190" s="33" t="s">
        <v>437</v>
      </c>
      <c r="L190" s="33" t="str">
        <f t="shared" si="17"/>
        <v>172.29.12.69</v>
      </c>
      <c r="M190" s="33">
        <v>30100</v>
      </c>
      <c r="N190" s="33" t="str">
        <f t="shared" si="18"/>
        <v>172.29.12.68</v>
      </c>
      <c r="O190" s="33">
        <f t="shared" si="19"/>
        <v>40100</v>
      </c>
      <c r="P190" s="33" t="s">
        <v>136</v>
      </c>
      <c r="Q190" s="34" t="s">
        <v>95</v>
      </c>
      <c r="R190" s="3" t="str">
        <f t="shared" si="20"/>
        <v>"6":{"type":"con","src":{"30100":{"raddr":"172.29.12.69:0","mhdr":"iBHb2","name":"NODO-01"},"40100":{"raddr":"172.29.12.68:0","mhdr":"iBHb2","name":"NODO-02"}},"dst":{"mode":"client","raddr":"172.19.209.58:35169","mhdr":"iBHb2","name":"AMEX BANCOLOMBIA EMISOR PT Out 2"},"plugin": {"file":"slb_plugin_rm_amex.so","type":"RM"}},</v>
      </c>
    </row>
    <row r="191" spans="1:18">
      <c r="A191" s="63"/>
      <c r="B191" s="7" t="s">
        <v>36</v>
      </c>
      <c r="C191" s="2" t="s">
        <v>497</v>
      </c>
      <c r="D191" s="6">
        <v>7</v>
      </c>
      <c r="E191" s="8" t="s">
        <v>269</v>
      </c>
      <c r="F191" s="8" t="s">
        <v>14</v>
      </c>
      <c r="G191" s="8"/>
      <c r="H191" s="8" t="s">
        <v>437</v>
      </c>
      <c r="I191" s="8" t="s">
        <v>135</v>
      </c>
      <c r="J191" s="8">
        <v>30094</v>
      </c>
      <c r="K191" s="33" t="s">
        <v>437</v>
      </c>
      <c r="L191" s="33" t="str">
        <f t="shared" si="17"/>
        <v>172.29.12.69</v>
      </c>
      <c r="M191" s="33">
        <v>30110</v>
      </c>
      <c r="N191" s="33" t="str">
        <f t="shared" si="18"/>
        <v>172.29.12.68</v>
      </c>
      <c r="O191" s="33">
        <f t="shared" si="19"/>
        <v>40110</v>
      </c>
      <c r="P191" s="33" t="s">
        <v>136</v>
      </c>
      <c r="Q191" s="34" t="s">
        <v>95</v>
      </c>
      <c r="R191" s="3" t="str">
        <f t="shared" si="20"/>
        <v>"7":{"type":"con","src":{"30110":{"raddr":"172.29.12.69:0","mhdr":"iBHb2","name":"NODO-01"},"40110":{"raddr":"172.29.12.68:0","mhdr":"iBHb2","name":"NODO-02"}},"dst":{"mode":"client","raddr":"172.19.209.58:30094","mhdr":"iBHb2","name":"AMEX BANCOLOMBIA ADQUIRIENTE PT Out 1"},"plugin": {"file":"slb_plugin_rm_amex.so","type":"RM"}},</v>
      </c>
    </row>
    <row r="192" spans="1:18" ht="15" thickBot="1">
      <c r="A192" s="64"/>
      <c r="B192" s="16" t="s">
        <v>37</v>
      </c>
      <c r="C192" s="14" t="s">
        <v>497</v>
      </c>
      <c r="D192" s="15">
        <v>8</v>
      </c>
      <c r="E192" s="17" t="s">
        <v>270</v>
      </c>
      <c r="F192" s="17" t="s">
        <v>14</v>
      </c>
      <c r="G192" s="17"/>
      <c r="H192" s="17" t="s">
        <v>437</v>
      </c>
      <c r="I192" s="17" t="s">
        <v>135</v>
      </c>
      <c r="J192" s="17">
        <v>30095</v>
      </c>
      <c r="K192" s="35" t="s">
        <v>437</v>
      </c>
      <c r="L192" s="35" t="str">
        <f t="shared" si="17"/>
        <v>172.29.12.69</v>
      </c>
      <c r="M192" s="35">
        <v>30120</v>
      </c>
      <c r="N192" s="35" t="str">
        <f t="shared" si="18"/>
        <v>172.29.12.68</v>
      </c>
      <c r="O192" s="35">
        <f t="shared" si="19"/>
        <v>40120</v>
      </c>
      <c r="P192" s="35" t="s">
        <v>136</v>
      </c>
      <c r="Q192" s="36" t="s">
        <v>96</v>
      </c>
      <c r="R192" s="3" t="str">
        <f t="shared" si="20"/>
        <v>"8":{"type":"con","src":{"30120":{"raddr":"172.29.12.69:0","mhdr":"iBHb2","name":"NODO-01"},"40120":{"raddr":"172.29.12.68:0","mhdr":"iBHb2","name":"NODO-02"}},"dst":{"mode":"client","raddr":"172.19.209.58:30095","mhdr":"iBHb2","name":"AMEX BANCOLOMBIA ADQUIRIENTE PT Out 2"},"plugin": {"file":"slb_plugin_rm_amex.so","type":"RM"}}}},</v>
      </c>
    </row>
    <row r="193" spans="1:18">
      <c r="A193" s="92">
        <v>4</v>
      </c>
      <c r="B193" s="23" t="s">
        <v>40</v>
      </c>
      <c r="C193" s="10" t="s">
        <v>497</v>
      </c>
      <c r="D193" s="29">
        <v>1</v>
      </c>
      <c r="E193" s="29" t="s">
        <v>213</v>
      </c>
      <c r="F193" s="29" t="s">
        <v>8</v>
      </c>
      <c r="G193" s="29" t="s">
        <v>13</v>
      </c>
      <c r="H193" s="29" t="s">
        <v>437</v>
      </c>
      <c r="I193" s="29"/>
      <c r="J193" s="29">
        <v>12606</v>
      </c>
      <c r="K193" s="32" t="s">
        <v>437</v>
      </c>
      <c r="L193" s="32" t="str">
        <f t="shared" si="17"/>
        <v>172.29.12.69</v>
      </c>
      <c r="M193" s="32">
        <v>30150</v>
      </c>
      <c r="N193" s="32" t="str">
        <f t="shared" si="18"/>
        <v>172.29.12.68</v>
      </c>
      <c r="O193" s="32">
        <f t="shared" si="19"/>
        <v>40150</v>
      </c>
      <c r="P193" s="32" t="s">
        <v>94</v>
      </c>
      <c r="Q193" s="49" t="s">
        <v>95</v>
      </c>
      <c r="R193" s="3" t="str">
        <f t="shared" si="20"/>
        <v>"4":{"rules":{"1":{"type":"con","src":{"30150":{"raddr":"172.29.12.69:0","mhdr":"iBHb2","name":"NODO-01"},"40150":{"raddr":"172.29.12.68:0","mhdr":"iBHb2","name":"NODO-02"}},"dst":{"mode":"server","raddr":"172.19.207.40:0","lport":"12606 iBHb2","name":"RBM (B24-SV) ADQUIRIENTE PT In"},"plugin": {"file":"slb_plugin_rm_biciso.so","type":"RM"}},</v>
      </c>
    </row>
    <row r="194" spans="1:18">
      <c r="A194" s="63"/>
      <c r="B194" s="7" t="s">
        <v>41</v>
      </c>
      <c r="C194" s="2" t="s">
        <v>497</v>
      </c>
      <c r="D194" s="8">
        <v>2</v>
      </c>
      <c r="E194" s="8" t="s">
        <v>214</v>
      </c>
      <c r="F194" s="8" t="s">
        <v>14</v>
      </c>
      <c r="G194" s="8"/>
      <c r="H194" s="8" t="s">
        <v>437</v>
      </c>
      <c r="I194" s="8" t="s">
        <v>13</v>
      </c>
      <c r="J194" s="8">
        <v>3011</v>
      </c>
      <c r="K194" s="33" t="s">
        <v>437</v>
      </c>
      <c r="L194" s="33" t="str">
        <f t="shared" si="17"/>
        <v>172.29.12.69</v>
      </c>
      <c r="M194" s="33">
        <v>30160</v>
      </c>
      <c r="N194" s="33" t="str">
        <f t="shared" si="18"/>
        <v>172.29.12.68</v>
      </c>
      <c r="O194" s="33">
        <f t="shared" si="19"/>
        <v>40160</v>
      </c>
      <c r="P194" s="33" t="s">
        <v>94</v>
      </c>
      <c r="Q194" s="34" t="s">
        <v>95</v>
      </c>
      <c r="R194" s="3" t="str">
        <f t="shared" si="20"/>
        <v>"2":{"type":"con","src":{"30160":{"raddr":"172.29.12.69:0","mhdr":"iBHb2","name":"NODO-01"},"40160":{"raddr":"172.29.12.68:0","mhdr":"iBHb2","name":"NODO-02"}},"dst":{"mode":"client","raddr":"172.19.207.40:3011","mhdr":"iBHb2","name":"RBM (B24-SV) ADQUIRIENTE PT Out"},"plugin": {"file":"slb_plugin_rm_biciso.so","type":"RM"}},</v>
      </c>
    </row>
    <row r="195" spans="1:18">
      <c r="A195" s="63"/>
      <c r="B195" s="7" t="s">
        <v>44</v>
      </c>
      <c r="C195" s="2" t="s">
        <v>497</v>
      </c>
      <c r="D195" s="8">
        <v>3</v>
      </c>
      <c r="E195" s="8" t="s">
        <v>215</v>
      </c>
      <c r="F195" s="8" t="s">
        <v>14</v>
      </c>
      <c r="G195" s="8"/>
      <c r="H195" s="8" t="s">
        <v>437</v>
      </c>
      <c r="I195" s="8" t="s">
        <v>57</v>
      </c>
      <c r="J195" s="8">
        <v>12606</v>
      </c>
      <c r="K195" s="33" t="s">
        <v>437</v>
      </c>
      <c r="L195" s="33" t="str">
        <f t="shared" si="17"/>
        <v>172.29.12.69</v>
      </c>
      <c r="M195" s="33">
        <v>30190</v>
      </c>
      <c r="N195" s="33" t="str">
        <f t="shared" si="18"/>
        <v>172.29.12.68</v>
      </c>
      <c r="O195" s="33">
        <f t="shared" si="19"/>
        <v>40190</v>
      </c>
      <c r="P195" s="33" t="s">
        <v>94</v>
      </c>
      <c r="Q195" s="34" t="s">
        <v>95</v>
      </c>
      <c r="R195" s="3" t="str">
        <f t="shared" si="20"/>
        <v>"3":{"type":"con","src":{"30190":{"raddr":"172.29.12.69:0","mhdr":"iBHb2","name":"NODO-01"},"40190":{"raddr":"172.29.12.68:0","mhdr":"iBHb2","name":"NODO-02"}},"dst":{"mode":"client","raddr":"172.17.96.1:12606","mhdr":"iBHb2","name":"RBM (SV-RBM) ADQUIRIENTE PT Out"},"plugin": {"file":"slb_plugin_rm_biciso.so","type":"RM"}},</v>
      </c>
    </row>
    <row r="196" spans="1:18">
      <c r="A196" s="63"/>
      <c r="B196" s="7" t="s">
        <v>45</v>
      </c>
      <c r="C196" s="2" t="s">
        <v>497</v>
      </c>
      <c r="D196" s="8">
        <v>4</v>
      </c>
      <c r="E196" s="8" t="s">
        <v>216</v>
      </c>
      <c r="F196" s="8" t="s">
        <v>8</v>
      </c>
      <c r="G196" s="8" t="s">
        <v>57</v>
      </c>
      <c r="H196" s="8" t="s">
        <v>437</v>
      </c>
      <c r="I196" s="8"/>
      <c r="J196" s="8">
        <v>3111</v>
      </c>
      <c r="K196" s="33" t="s">
        <v>437</v>
      </c>
      <c r="L196" s="33" t="str">
        <f t="shared" si="17"/>
        <v>172.29.12.69</v>
      </c>
      <c r="M196" s="33">
        <v>30200</v>
      </c>
      <c r="N196" s="33" t="str">
        <f t="shared" si="18"/>
        <v>172.29.12.68</v>
      </c>
      <c r="O196" s="33">
        <f t="shared" si="19"/>
        <v>40200</v>
      </c>
      <c r="P196" s="33" t="s">
        <v>94</v>
      </c>
      <c r="Q196" s="34" t="s">
        <v>95</v>
      </c>
      <c r="R196" s="3" t="str">
        <f t="shared" si="20"/>
        <v>"4":{"type":"con","src":{"30200":{"raddr":"172.29.12.69:0","mhdr":"iBHb2","name":"NODO-01"},"40200":{"raddr":"172.29.12.68:0","mhdr":"iBHb2","name":"NODO-02"}},"dst":{"mode":"server","raddr":"172.17.96.1:0","lport":"3111 iBHb2","name":"RBM (SV-RBM) ADQUIRIENTE PT In"},"plugin": {"file":"slb_plugin_rm_biciso.so","type":"RM"}},</v>
      </c>
    </row>
    <row r="197" spans="1:18">
      <c r="A197" s="63"/>
      <c r="B197" s="7" t="s">
        <v>38</v>
      </c>
      <c r="C197" s="2" t="s">
        <v>497</v>
      </c>
      <c r="D197" s="8">
        <v>5</v>
      </c>
      <c r="E197" s="8" t="s">
        <v>209</v>
      </c>
      <c r="F197" s="8" t="s">
        <v>8</v>
      </c>
      <c r="G197" s="8" t="s">
        <v>13</v>
      </c>
      <c r="H197" s="8" t="s">
        <v>437</v>
      </c>
      <c r="I197" s="8"/>
      <c r="J197" s="8">
        <v>12605</v>
      </c>
      <c r="K197" s="33" t="s">
        <v>437</v>
      </c>
      <c r="L197" s="33" t="str">
        <f t="shared" si="17"/>
        <v>172.29.12.69</v>
      </c>
      <c r="M197" s="33">
        <v>30130</v>
      </c>
      <c r="N197" s="33" t="str">
        <f t="shared" si="18"/>
        <v>172.29.12.68</v>
      </c>
      <c r="O197" s="33">
        <f t="shared" si="19"/>
        <v>40130</v>
      </c>
      <c r="P197" s="33" t="s">
        <v>94</v>
      </c>
      <c r="Q197" s="34" t="s">
        <v>95</v>
      </c>
      <c r="R197" s="3" t="str">
        <f t="shared" si="20"/>
        <v>"5":{"type":"con","src":{"30130":{"raddr":"172.29.12.69:0","mhdr":"iBHb2","name":"NODO-01"},"40130":{"raddr":"172.29.12.68:0","mhdr":"iBHb2","name":"NODO-02"}},"dst":{"mode":"server","raddr":"172.19.207.40:0","lport":"12605 iBHb2","name":"RBM (B24-SV) EMISOR PT In"},"plugin": {"file":"slb_plugin_rm_biciso.so","type":"RM"}},</v>
      </c>
    </row>
    <row r="198" spans="1:18">
      <c r="A198" s="63"/>
      <c r="B198" s="7" t="s">
        <v>39</v>
      </c>
      <c r="C198" s="2" t="s">
        <v>497</v>
      </c>
      <c r="D198" s="8">
        <v>6</v>
      </c>
      <c r="E198" s="8" t="s">
        <v>210</v>
      </c>
      <c r="F198" s="8" t="s">
        <v>14</v>
      </c>
      <c r="G198" s="8"/>
      <c r="H198" s="8" t="s">
        <v>437</v>
      </c>
      <c r="I198" s="8" t="s">
        <v>13</v>
      </c>
      <c r="J198" s="8">
        <v>4011</v>
      </c>
      <c r="K198" s="33" t="s">
        <v>437</v>
      </c>
      <c r="L198" s="33" t="str">
        <f t="shared" si="17"/>
        <v>172.29.12.69</v>
      </c>
      <c r="M198" s="33">
        <v>30140</v>
      </c>
      <c r="N198" s="33" t="str">
        <f t="shared" si="18"/>
        <v>172.29.12.68</v>
      </c>
      <c r="O198" s="33">
        <f t="shared" si="19"/>
        <v>40140</v>
      </c>
      <c r="P198" s="33" t="s">
        <v>94</v>
      </c>
      <c r="Q198" s="34" t="s">
        <v>95</v>
      </c>
      <c r="R198" s="3" t="str">
        <f t="shared" si="20"/>
        <v>"6":{"type":"con","src":{"30140":{"raddr":"172.29.12.69:0","mhdr":"iBHb2","name":"NODO-01"},"40140":{"raddr":"172.29.12.68:0","mhdr":"iBHb2","name":"NODO-02"}},"dst":{"mode":"client","raddr":"172.19.207.40:4011","mhdr":"iBHb2","name":"RBM (B24-SV) EMISOR PT Out"},"plugin": {"file":"slb_plugin_rm_biciso.so","type":"RM"}},</v>
      </c>
    </row>
    <row r="199" spans="1:18">
      <c r="A199" s="63"/>
      <c r="B199" s="7" t="s">
        <v>42</v>
      </c>
      <c r="C199" s="2" t="s">
        <v>497</v>
      </c>
      <c r="D199" s="8">
        <v>7</v>
      </c>
      <c r="E199" s="8" t="s">
        <v>211</v>
      </c>
      <c r="F199" s="8" t="s">
        <v>14</v>
      </c>
      <c r="G199" s="8"/>
      <c r="H199" s="8" t="s">
        <v>437</v>
      </c>
      <c r="I199" s="8" t="s">
        <v>57</v>
      </c>
      <c r="J199" s="8">
        <v>12605</v>
      </c>
      <c r="K199" s="33" t="s">
        <v>437</v>
      </c>
      <c r="L199" s="33" t="str">
        <f t="shared" si="17"/>
        <v>172.29.12.69</v>
      </c>
      <c r="M199" s="33">
        <v>30170</v>
      </c>
      <c r="N199" s="33" t="str">
        <f t="shared" si="18"/>
        <v>172.29.12.68</v>
      </c>
      <c r="O199" s="33">
        <f t="shared" si="19"/>
        <v>40170</v>
      </c>
      <c r="P199" s="33" t="s">
        <v>94</v>
      </c>
      <c r="Q199" s="34" t="s">
        <v>95</v>
      </c>
      <c r="R199" s="3" t="str">
        <f t="shared" si="20"/>
        <v>"7":{"type":"con","src":{"30170":{"raddr":"172.29.12.69:0","mhdr":"iBHb2","name":"NODO-01"},"40170":{"raddr":"172.29.12.68:0","mhdr":"iBHb2","name":"NODO-02"}},"dst":{"mode":"client","raddr":"172.17.96.1:12605","mhdr":"iBHb2","name":"RBM (SV-RBM) EMISOR PT Out"},"plugin": {"file":"slb_plugin_rm_biciso.so","type":"RM"}},</v>
      </c>
    </row>
    <row r="200" spans="1:18" ht="15" thickBot="1">
      <c r="A200" s="64"/>
      <c r="B200" s="16" t="s">
        <v>43</v>
      </c>
      <c r="C200" s="14" t="s">
        <v>497</v>
      </c>
      <c r="D200" s="17">
        <v>8</v>
      </c>
      <c r="E200" s="17" t="s">
        <v>212</v>
      </c>
      <c r="F200" s="17" t="s">
        <v>8</v>
      </c>
      <c r="G200" s="17" t="s">
        <v>57</v>
      </c>
      <c r="H200" s="17" t="s">
        <v>437</v>
      </c>
      <c r="I200" s="17"/>
      <c r="J200" s="17">
        <v>4111</v>
      </c>
      <c r="K200" s="35" t="s">
        <v>437</v>
      </c>
      <c r="L200" s="35" t="str">
        <f t="shared" si="17"/>
        <v>172.29.12.69</v>
      </c>
      <c r="M200" s="35">
        <v>30180</v>
      </c>
      <c r="N200" s="35" t="str">
        <f t="shared" si="18"/>
        <v>172.29.12.68</v>
      </c>
      <c r="O200" s="35">
        <f t="shared" si="19"/>
        <v>40180</v>
      </c>
      <c r="P200" s="35" t="s">
        <v>94</v>
      </c>
      <c r="Q200" s="36" t="s">
        <v>96</v>
      </c>
      <c r="R200" s="3" t="str">
        <f t="shared" si="20"/>
        <v>"8":{"type":"con","src":{"30180":{"raddr":"172.29.12.69:0","mhdr":"iBHb2","name":"NODO-01"},"40180":{"raddr":"172.29.12.68:0","mhdr":"iBHb2","name":"NODO-02"}},"dst":{"mode":"server","raddr":"172.17.96.1:0","lport":"4111 iBHb2","name":"RBM (SV-RBM) EMISOR PT In"},"plugin": {"file":"slb_plugin_rm_biciso.so","type":"RM"}}}},</v>
      </c>
    </row>
    <row r="201" spans="1:18">
      <c r="A201" s="47">
        <v>5</v>
      </c>
      <c r="B201" s="23" t="s">
        <v>64</v>
      </c>
      <c r="C201" s="10" t="s">
        <v>496</v>
      </c>
      <c r="D201" s="29">
        <v>1</v>
      </c>
      <c r="E201" s="29" t="s">
        <v>272</v>
      </c>
      <c r="F201" s="29" t="s">
        <v>14</v>
      </c>
      <c r="G201" s="29"/>
      <c r="H201" s="29" t="s">
        <v>55</v>
      </c>
      <c r="I201" s="29" t="s">
        <v>13</v>
      </c>
      <c r="J201" s="29">
        <v>4180</v>
      </c>
      <c r="K201" s="32" t="s">
        <v>55</v>
      </c>
      <c r="L201" s="32" t="str">
        <f t="shared" si="17"/>
        <v>172.29.12.69</v>
      </c>
      <c r="M201" s="32">
        <v>30300</v>
      </c>
      <c r="N201" s="32" t="str">
        <f t="shared" si="18"/>
        <v>172.29.12.68</v>
      </c>
      <c r="O201" s="32">
        <f t="shared" si="19"/>
        <v>40300</v>
      </c>
      <c r="P201" s="32" t="s">
        <v>94</v>
      </c>
      <c r="Q201" s="49" t="s">
        <v>95</v>
      </c>
      <c r="R201" s="3" t="str">
        <f t="shared" si="20"/>
        <v>"5":{"rules":{"1":{"type":"con","src":{"30300":{"raddr":"172.29.12.69:0","mhdr":"BHb2","name":"NODO-01"},"40300":{"raddr":"172.29.12.68:0","mhdr":"BHb2","name":"NODO-02"}},"dst":{"mode":"client","raddr":"172.19.207.40:4180","mhdr":"BHb2","name":"Red ATM CajaSoc out 1"},"plugin": {"file":"slb_plugin_rm_biciso.so","type":"RM"}},</v>
      </c>
    </row>
    <row r="202" spans="1:18">
      <c r="A202" s="30"/>
      <c r="B202" s="7" t="s">
        <v>66</v>
      </c>
      <c r="C202" s="2" t="s">
        <v>496</v>
      </c>
      <c r="D202" s="8">
        <v>2</v>
      </c>
      <c r="E202" s="8" t="s">
        <v>271</v>
      </c>
      <c r="F202" s="8" t="s">
        <v>8</v>
      </c>
      <c r="G202" s="8" t="s">
        <v>142</v>
      </c>
      <c r="H202" s="8" t="s">
        <v>55</v>
      </c>
      <c r="I202" s="8"/>
      <c r="J202" s="8">
        <v>4180</v>
      </c>
      <c r="K202" s="33" t="s">
        <v>55</v>
      </c>
      <c r="L202" s="33" t="str">
        <f t="shared" si="17"/>
        <v>172.29.12.69</v>
      </c>
      <c r="M202" s="33">
        <v>30310</v>
      </c>
      <c r="N202" s="33" t="str">
        <f t="shared" si="18"/>
        <v>172.29.12.68</v>
      </c>
      <c r="O202" s="33">
        <f t="shared" si="19"/>
        <v>40310</v>
      </c>
      <c r="P202" s="33" t="s">
        <v>94</v>
      </c>
      <c r="Q202" s="34" t="s">
        <v>95</v>
      </c>
      <c r="R202" s="3" t="str">
        <f t="shared" si="20"/>
        <v>"2":{"type":"con","src":{"30310":{"raddr":"172.29.12.69:0","mhdr":"BHb2","name":"NODO-01"},"40310":{"raddr":"172.29.12.68:0","mhdr":"BHb2","name":"NODO-02"}},"dst":{"mode":"server","raddr":"10.2.32.194:0","lport":"4180 BHb2","name":"Red ATM CajaSoc in 1"},"plugin": {"file":"slb_plugin_rm_biciso.so","type":"RM"}},</v>
      </c>
    </row>
    <row r="203" spans="1:18">
      <c r="A203" s="30"/>
      <c r="B203" s="7" t="s">
        <v>65</v>
      </c>
      <c r="C203" s="2" t="s">
        <v>496</v>
      </c>
      <c r="D203" s="8">
        <v>3</v>
      </c>
      <c r="E203" s="8" t="s">
        <v>273</v>
      </c>
      <c r="F203" s="8" t="s">
        <v>14</v>
      </c>
      <c r="G203" s="8"/>
      <c r="H203" s="8" t="s">
        <v>55</v>
      </c>
      <c r="I203" s="8" t="s">
        <v>13</v>
      </c>
      <c r="J203" s="8">
        <v>5180</v>
      </c>
      <c r="K203" s="33" t="s">
        <v>55</v>
      </c>
      <c r="L203" s="33" t="str">
        <f t="shared" si="17"/>
        <v>172.29.12.69</v>
      </c>
      <c r="M203" s="33">
        <v>30320</v>
      </c>
      <c r="N203" s="33" t="str">
        <f t="shared" si="18"/>
        <v>172.29.12.68</v>
      </c>
      <c r="O203" s="33">
        <f t="shared" si="19"/>
        <v>40320</v>
      </c>
      <c r="P203" s="33" t="s">
        <v>94</v>
      </c>
      <c r="Q203" s="34" t="s">
        <v>95</v>
      </c>
      <c r="R203" s="3" t="str">
        <f t="shared" si="20"/>
        <v>"3":{"type":"con","src":{"30320":{"raddr":"172.29.12.69:0","mhdr":"BHb2","name":"NODO-01"},"40320":{"raddr":"172.29.12.68:0","mhdr":"BHb2","name":"NODO-02"}},"dst":{"mode":"client","raddr":"172.19.207.40:5180","mhdr":"BHb2","name":"Red ATM CajaSoc out 2"},"plugin": {"file":"slb_plugin_rm_biciso.so","type":"RM"}},</v>
      </c>
    </row>
    <row r="204" spans="1:18" ht="15" thickBot="1">
      <c r="A204" s="40"/>
      <c r="B204" s="16" t="s">
        <v>67</v>
      </c>
      <c r="C204" s="14" t="s">
        <v>496</v>
      </c>
      <c r="D204" s="17">
        <v>4</v>
      </c>
      <c r="E204" s="17" t="s">
        <v>274</v>
      </c>
      <c r="F204" s="17" t="s">
        <v>8</v>
      </c>
      <c r="G204" s="17" t="s">
        <v>142</v>
      </c>
      <c r="H204" s="17" t="s">
        <v>55</v>
      </c>
      <c r="I204" s="17"/>
      <c r="J204" s="17">
        <v>5180</v>
      </c>
      <c r="K204" s="35" t="s">
        <v>55</v>
      </c>
      <c r="L204" s="35" t="str">
        <f t="shared" si="17"/>
        <v>172.29.12.69</v>
      </c>
      <c r="M204" s="35">
        <v>30330</v>
      </c>
      <c r="N204" s="35" t="str">
        <f t="shared" si="18"/>
        <v>172.29.12.68</v>
      </c>
      <c r="O204" s="35">
        <f t="shared" si="19"/>
        <v>40330</v>
      </c>
      <c r="P204" s="35" t="s">
        <v>94</v>
      </c>
      <c r="Q204" s="36" t="s">
        <v>95</v>
      </c>
      <c r="R204" s="3" t="str">
        <f t="shared" si="20"/>
        <v>"4":{"type":"con","src":{"30330":{"raddr":"172.29.12.69:0","mhdr":"BHb2","name":"NODO-01"},"40330":{"raddr":"172.29.12.68:0","mhdr":"BHb2","name":"NODO-02"}},"dst":{"mode":"server","raddr":"10.2.32.194:0","lport":"5180 BHb2","name":"Red ATM CajaSoc in 2"},"plugin": {"file":"slb_plugin_rm_biciso.so","type":"RM"}},</v>
      </c>
    </row>
    <row r="205" spans="1:18" ht="15" thickBot="1">
      <c r="A205" s="122"/>
      <c r="B205" s="18" t="s">
        <v>1390</v>
      </c>
      <c r="C205" s="18" t="s">
        <v>496</v>
      </c>
      <c r="D205" s="19">
        <v>5</v>
      </c>
      <c r="E205" s="42" t="s">
        <v>1394</v>
      </c>
      <c r="F205" s="19" t="s">
        <v>8</v>
      </c>
      <c r="G205" s="19" t="s">
        <v>142</v>
      </c>
      <c r="H205" s="19" t="s">
        <v>55</v>
      </c>
      <c r="I205" s="19"/>
      <c r="J205" s="19">
        <v>6932</v>
      </c>
      <c r="K205" s="37" t="s">
        <v>55</v>
      </c>
      <c r="L205" s="35" t="str">
        <f t="shared" ref="L205:L228" si="21">+$B$174</f>
        <v>172.29.12.69</v>
      </c>
      <c r="M205" s="37">
        <f>J205+30000</f>
        <v>36932</v>
      </c>
      <c r="N205" s="33" t="str">
        <f t="shared" ref="N205:N352" si="22">+$B$175</f>
        <v>172.29.12.68</v>
      </c>
      <c r="O205" s="37">
        <f>J205+40000</f>
        <v>46932</v>
      </c>
      <c r="P205" s="33" t="s">
        <v>94</v>
      </c>
      <c r="Q205" s="49" t="s">
        <v>95</v>
      </c>
      <c r="R205" s="3" t="str">
        <f>CONCATENATE(IF(A205&lt;&gt;"",CONCATENATE("""",A205,"""",":{","""","rules","""",":{"),""),"""",D205,""":{""type"":""con"",""src"":{""",M205,""":{""raddr"":""",L205,":0"",""mhdr"":""",K205,""",","""name""",":","""NODO-01","""},""",O205,""":{""raddr"":""",N205,":0"",""mhdr"":""",K205,""",","""name""",":","""NODO-02","""}},","""dst"":{""mode"":""",F205,""",""raddr"":""",IF(F205="server",G205,I205),":",IF(F205="server",0,J205),""",""",IF(F205="server","lport","mhdr"),""":""",IF(F205="server",J205,""),IF(F205="server"," ",""),K205,""",","""name""",":","""",B205,IF(P205&lt;&gt;"",CONCATENATE("""},","""plugin""",": {","""file""",":""",P205,""",","""type""",":","""","RM",""""),""""),Q205)</f>
        <v>"5":{"type":"con","src":{"36932":{"raddr":"172.29.12.69:0","mhdr":"BHb2","name":"NODO-01"},"46932":{"raddr":"172.29.12.68:0","mhdr":"BHb2","name":"NODO-02"}},"dst":{"mode":"server","raddr":"10.2.32.194:0","lport":"6932 BHb2","name":"Caja DR 1 P2DHIS0982"},"plugin": {"file":"slb_plugin_rm_biciso.so","type":"RM"}},</v>
      </c>
    </row>
    <row r="206" spans="1:18" ht="15" thickBot="1">
      <c r="A206" s="122"/>
      <c r="B206" s="18" t="s">
        <v>1391</v>
      </c>
      <c r="C206" s="18" t="s">
        <v>496</v>
      </c>
      <c r="D206" s="19">
        <v>6</v>
      </c>
      <c r="E206" s="42" t="s">
        <v>1395</v>
      </c>
      <c r="F206" s="19" t="s">
        <v>8</v>
      </c>
      <c r="G206" s="19" t="s">
        <v>142</v>
      </c>
      <c r="H206" s="19" t="s">
        <v>55</v>
      </c>
      <c r="I206" s="19"/>
      <c r="J206" s="19">
        <v>7932</v>
      </c>
      <c r="K206" s="37" t="s">
        <v>55</v>
      </c>
      <c r="L206" s="35" t="str">
        <f t="shared" si="21"/>
        <v>172.29.12.69</v>
      </c>
      <c r="M206" s="37">
        <f t="shared" ref="M206:M208" si="23">J206+30000</f>
        <v>37932</v>
      </c>
      <c r="N206" s="33" t="str">
        <f t="shared" si="22"/>
        <v>172.29.12.68</v>
      </c>
      <c r="O206" s="37">
        <f t="shared" ref="O206:O208" si="24">J206+40000</f>
        <v>47932</v>
      </c>
      <c r="P206" s="33" t="s">
        <v>94</v>
      </c>
      <c r="Q206" s="34" t="s">
        <v>95</v>
      </c>
      <c r="R206" s="3" t="str">
        <f>CONCATENATE(IF(A206&lt;&gt;"",CONCATENATE("""",A206,"""",":{","""","rules","""",":{"),""),"""",D206,""":{""type"":""con"",""src"":{""",M206,""":{""raddr"":""",L206,":0"",""mhdr"":""",K206,""",","""name""",":","""NODO-01","""},""",O206,""":{""raddr"":""",N206,":0"",""mhdr"":""",K206,""",","""name""",":","""NODO-02","""}},","""dst"":{""mode"":""",F206,""",""raddr"":""",IF(F206="server",G206,I206),":",IF(F206="server",0,J206),""",""",IF(F206="server","lport","mhdr"),""":""",IF(F206="server",J206,""),IF(F206="server"," ",""),K206,""",","""name""",":","""",B206,IF(P206&lt;&gt;"",CONCATENATE("""},","""plugin""",": {","""file""",":""",P206,""",","""type""",":","""","RM",""""),""""),Q206)</f>
        <v>"6":{"type":"con","src":{"37932":{"raddr":"172.29.12.69:0","mhdr":"BHb2","name":"NODO-01"},"47932":{"raddr":"172.29.12.68:0","mhdr":"BHb2","name":"NODO-02"}},"dst":{"mode":"server","raddr":"10.2.32.194:0","lport":"7932 BHb2","name":"Caja DR 2 P2DHIS0982"},"plugin": {"file":"slb_plugin_rm_biciso.so","type":"RM"}},</v>
      </c>
    </row>
    <row r="207" spans="1:18" ht="15" thickBot="1">
      <c r="A207" s="122"/>
      <c r="B207" s="18" t="s">
        <v>1392</v>
      </c>
      <c r="C207" s="18" t="s">
        <v>496</v>
      </c>
      <c r="D207" s="19">
        <v>7</v>
      </c>
      <c r="E207" s="42" t="s">
        <v>1396</v>
      </c>
      <c r="F207" s="19" t="s">
        <v>8</v>
      </c>
      <c r="G207" s="19" t="s">
        <v>1098</v>
      </c>
      <c r="H207" s="19" t="s">
        <v>55</v>
      </c>
      <c r="I207" s="19"/>
      <c r="J207" s="19">
        <v>4032</v>
      </c>
      <c r="K207" s="37" t="s">
        <v>55</v>
      </c>
      <c r="L207" s="35" t="str">
        <f t="shared" si="21"/>
        <v>172.29.12.69</v>
      </c>
      <c r="M207" s="37">
        <f t="shared" si="23"/>
        <v>34032</v>
      </c>
      <c r="N207" s="33" t="str">
        <f t="shared" si="22"/>
        <v>172.29.12.68</v>
      </c>
      <c r="O207" s="37">
        <f t="shared" si="24"/>
        <v>44032</v>
      </c>
      <c r="P207" s="33" t="s">
        <v>94</v>
      </c>
      <c r="Q207" s="34" t="s">
        <v>95</v>
      </c>
      <c r="R207" s="3" t="str">
        <f>CONCATENATE(IF(A207&lt;&gt;"",CONCATENATE("""",A207,"""",":{","""","rules","""",":{"),""),"""",D207,""":{""type"":""con"",""src"":{""",M207,""":{""raddr"":""",L207,":0"",""mhdr"":""",K207,""",","""name""",":","""NODO-01","""},""",O207,""":{""raddr"":""",N207,":0"",""mhdr"":""",K207,""",","""name""",":","""NODO-02","""}},","""dst"":{""mode"":""",F207,""",""raddr"":""",IF(F207="server",G207,I207),":",IF(F207="server",0,J207),""",""",IF(F207="server","lport","mhdr"),""":""",IF(F207="server",J207,""),IF(F207="server"," ",""),K207,""",","""name""",":","""",B207,IF(P207&lt;&gt;"",CONCATENATE("""},","""plugin""",": {","""file""",":""",P207,""",","""type""",":","""","RM",""""),""""),Q207)</f>
        <v>"7":{"type":"con","src":{"34032":{"raddr":"172.29.12.69:0","mhdr":"BHb2","name":"NODO-01"},"44032":{"raddr":"172.29.12.68:0","mhdr":"BHb2","name":"NODO-02"}},"dst":{"mode":"server","raddr":"10.2.32.18:0","lport":"4032 BHb2","name":"Caja notif 1"},"plugin": {"file":"slb_plugin_rm_biciso.so","type":"RM"}},</v>
      </c>
    </row>
    <row r="208" spans="1:18" ht="15" thickBot="1">
      <c r="A208" s="122"/>
      <c r="B208" s="18" t="s">
        <v>1393</v>
      </c>
      <c r="C208" s="18" t="s">
        <v>496</v>
      </c>
      <c r="D208" s="19">
        <v>8</v>
      </c>
      <c r="E208" s="42" t="s">
        <v>1397</v>
      </c>
      <c r="F208" s="19" t="s">
        <v>8</v>
      </c>
      <c r="G208" s="19" t="s">
        <v>1098</v>
      </c>
      <c r="H208" s="19" t="s">
        <v>55</v>
      </c>
      <c r="I208" s="19"/>
      <c r="J208" s="19">
        <v>5032</v>
      </c>
      <c r="K208" s="37" t="s">
        <v>55</v>
      </c>
      <c r="L208" s="35" t="str">
        <f t="shared" si="21"/>
        <v>172.29.12.69</v>
      </c>
      <c r="M208" s="37">
        <f t="shared" si="23"/>
        <v>35032</v>
      </c>
      <c r="N208" s="33" t="str">
        <f t="shared" si="22"/>
        <v>172.29.12.68</v>
      </c>
      <c r="O208" s="37">
        <f t="shared" si="24"/>
        <v>45032</v>
      </c>
      <c r="P208" s="33" t="s">
        <v>94</v>
      </c>
      <c r="Q208" s="36" t="s">
        <v>96</v>
      </c>
      <c r="R208" s="3" t="str">
        <f>CONCATENATE(IF(A208&lt;&gt;"",CONCATENATE("""",A208,"""",":{","""","rules","""",":{"),""),"""",D208,""":{""type"":""con"",""src"":{""",M208,""":{""raddr"":""",L208,":0"",""mhdr"":""",K208,""",","""name""",":","""NODO-01","""},""",O208,""":{""raddr"":""",N208,":0"",""mhdr"":""",K208,""",","""name""",":","""NODO-02","""}},","""dst"":{""mode"":""",F208,""",""raddr"":""",IF(F208="server",G208,I208),":",IF(F208="server",0,J208),""",""",IF(F208="server","lport","mhdr"),""":""",IF(F208="server",J208,""),IF(F208="server"," ",""),K208,""",","""name""",":","""",B208,IF(P208&lt;&gt;"",CONCATENATE("""},","""plugin""",": {","""file""",":""",P208,""",","""type""",":","""","RM",""""),""""),Q208)</f>
        <v>"8":{"type":"con","src":{"35032":{"raddr":"172.29.12.69:0","mhdr":"BHb2","name":"NODO-01"},"45032":{"raddr":"172.29.12.68:0","mhdr":"BHb2","name":"NODO-02"}},"dst":{"mode":"server","raddr":"10.2.32.18:0","lport":"5032 BHb2","name":"Caja notif 2"},"plugin": {"file":"slb_plugin_rm_biciso.so","type":"RM"}}}},</v>
      </c>
    </row>
    <row r="209" spans="1:18" ht="15" thickBot="1">
      <c r="A209" s="47">
        <v>6</v>
      </c>
      <c r="B209" s="23" t="s">
        <v>68</v>
      </c>
      <c r="C209" s="10" t="s">
        <v>496</v>
      </c>
      <c r="D209" s="29">
        <v>1</v>
      </c>
      <c r="E209" s="29" t="s">
        <v>275</v>
      </c>
      <c r="F209" s="29" t="s">
        <v>14</v>
      </c>
      <c r="G209" s="29"/>
      <c r="H209" s="29" t="s">
        <v>437</v>
      </c>
      <c r="I209" s="29" t="s">
        <v>13</v>
      </c>
      <c r="J209" s="29">
        <v>6164</v>
      </c>
      <c r="K209" s="32" t="s">
        <v>437</v>
      </c>
      <c r="L209" s="32" t="str">
        <f t="shared" si="17"/>
        <v>172.29.12.69</v>
      </c>
      <c r="M209" s="32">
        <v>30340</v>
      </c>
      <c r="N209" s="32" t="str">
        <f t="shared" si="18"/>
        <v>172.29.12.68</v>
      </c>
      <c r="O209" s="32">
        <f t="shared" si="19"/>
        <v>40340</v>
      </c>
      <c r="P209" s="35" t="s">
        <v>94</v>
      </c>
      <c r="Q209" s="49" t="s">
        <v>95</v>
      </c>
      <c r="R209" s="3" t="str">
        <f t="shared" si="20"/>
        <v>"6":{"rules":{"1":{"type":"con","src":{"30340":{"raddr":"172.29.12.69:0","mhdr":"iBHb2","name":"NODO-01"},"40340":{"raddr":"172.29.12.68:0","mhdr":"iBHb2","name":"NODO-02"}},"dst":{"mode":"client","raddr":"172.19.207.40:6164","mhdr":"iBHb2","name":"Red ATM Pichinc out 1"},"plugin": {"file":"slb_plugin_rm_biciso.so","type":"RM"}},</v>
      </c>
    </row>
    <row r="210" spans="1:18" ht="15" thickBot="1">
      <c r="A210" s="30"/>
      <c r="B210" s="7" t="s">
        <v>253</v>
      </c>
      <c r="C210" s="2" t="s">
        <v>496</v>
      </c>
      <c r="D210" s="8">
        <v>2</v>
      </c>
      <c r="E210" s="8" t="s">
        <v>276</v>
      </c>
      <c r="F210" s="8" t="s">
        <v>8</v>
      </c>
      <c r="G210" s="8" t="s">
        <v>70</v>
      </c>
      <c r="H210" s="8" t="s">
        <v>437</v>
      </c>
      <c r="I210" s="8"/>
      <c r="J210" s="8">
        <v>6164</v>
      </c>
      <c r="K210" s="33" t="s">
        <v>437</v>
      </c>
      <c r="L210" s="33" t="str">
        <f t="shared" si="17"/>
        <v>172.29.12.69</v>
      </c>
      <c r="M210" s="33">
        <v>30350</v>
      </c>
      <c r="N210" s="33" t="str">
        <f t="shared" si="18"/>
        <v>172.29.12.68</v>
      </c>
      <c r="O210" s="33">
        <f t="shared" si="19"/>
        <v>40350</v>
      </c>
      <c r="P210" s="35" t="s">
        <v>94</v>
      </c>
      <c r="Q210" s="34" t="s">
        <v>95</v>
      </c>
      <c r="R210" s="3" t="str">
        <f t="shared" si="20"/>
        <v>"2":{"type":"con","src":{"30350":{"raddr":"172.29.12.69:0","mhdr":"iBHb2","name":"NODO-01"},"40350":{"raddr":"172.29.12.68:0","mhdr":"iBHb2","name":"NODO-02"}},"dst":{"mode":"server","raddr":"192.168.2.130:0","lport":"6164 iBHb2","name":"Red ATM Pichinc in 1"},"plugin": {"file":"slb_plugin_rm_biciso.so","type":"RM"}},</v>
      </c>
    </row>
    <row r="211" spans="1:18" ht="15" thickBot="1">
      <c r="A211" s="30"/>
      <c r="B211" s="7" t="s">
        <v>69</v>
      </c>
      <c r="C211" s="2" t="s">
        <v>496</v>
      </c>
      <c r="D211" s="8">
        <v>3</v>
      </c>
      <c r="E211" s="8" t="s">
        <v>277</v>
      </c>
      <c r="F211" s="8" t="s">
        <v>14</v>
      </c>
      <c r="G211" s="8"/>
      <c r="H211" s="8" t="s">
        <v>437</v>
      </c>
      <c r="I211" s="8" t="s">
        <v>13</v>
      </c>
      <c r="J211" s="8">
        <v>7164</v>
      </c>
      <c r="K211" s="33" t="s">
        <v>437</v>
      </c>
      <c r="L211" s="33" t="str">
        <f t="shared" si="17"/>
        <v>172.29.12.69</v>
      </c>
      <c r="M211" s="33">
        <v>30360</v>
      </c>
      <c r="N211" s="33" t="str">
        <f t="shared" si="18"/>
        <v>172.29.12.68</v>
      </c>
      <c r="O211" s="33">
        <f t="shared" si="19"/>
        <v>40360</v>
      </c>
      <c r="P211" s="35" t="s">
        <v>94</v>
      </c>
      <c r="Q211" s="34" t="s">
        <v>95</v>
      </c>
      <c r="R211" s="3" t="str">
        <f t="shared" si="20"/>
        <v>"3":{"type":"con","src":{"30360":{"raddr":"172.29.12.69:0","mhdr":"iBHb2","name":"NODO-01"},"40360":{"raddr":"172.29.12.68:0","mhdr":"iBHb2","name":"NODO-02"}},"dst":{"mode":"client","raddr":"172.19.207.40:7164","mhdr":"iBHb2","name":"Red ATM Pichinc out 2"},"plugin": {"file":"slb_plugin_rm_biciso.so","type":"RM"}},</v>
      </c>
    </row>
    <row r="212" spans="1:18" ht="15" thickBot="1">
      <c r="A212" s="40"/>
      <c r="B212" s="16" t="s">
        <v>254</v>
      </c>
      <c r="C212" s="14" t="s">
        <v>496</v>
      </c>
      <c r="D212" s="17">
        <v>4</v>
      </c>
      <c r="E212" s="17" t="s">
        <v>278</v>
      </c>
      <c r="F212" s="17" t="s">
        <v>8</v>
      </c>
      <c r="G212" s="17" t="s">
        <v>70</v>
      </c>
      <c r="H212" s="17" t="s">
        <v>437</v>
      </c>
      <c r="I212" s="17"/>
      <c r="J212" s="17">
        <v>7164</v>
      </c>
      <c r="K212" s="35" t="s">
        <v>437</v>
      </c>
      <c r="L212" s="35" t="str">
        <f t="shared" si="17"/>
        <v>172.29.12.69</v>
      </c>
      <c r="M212" s="35">
        <v>30370</v>
      </c>
      <c r="N212" s="35" t="str">
        <f t="shared" si="18"/>
        <v>172.29.12.68</v>
      </c>
      <c r="O212" s="35">
        <f t="shared" si="19"/>
        <v>40370</v>
      </c>
      <c r="P212" s="35" t="s">
        <v>94</v>
      </c>
      <c r="Q212" s="36" t="s">
        <v>95</v>
      </c>
      <c r="R212" s="3" t="str">
        <f t="shared" si="20"/>
        <v>"4":{"type":"con","src":{"30370":{"raddr":"172.29.12.69:0","mhdr":"iBHb2","name":"NODO-01"},"40370":{"raddr":"172.29.12.68:0","mhdr":"iBHb2","name":"NODO-02"}},"dst":{"mode":"server","raddr":"192.168.2.130:0","lport":"7164 iBHb2","name":"Red ATM Pichinc in 2"},"plugin": {"file":"slb_plugin_rm_biciso.so","type":"RM"}},</v>
      </c>
    </row>
    <row r="213" spans="1:18" ht="15" thickBot="1">
      <c r="A213" s="47"/>
      <c r="B213" s="23" t="s">
        <v>129</v>
      </c>
      <c r="C213" s="23" t="s">
        <v>497</v>
      </c>
      <c r="D213" s="29">
        <v>5</v>
      </c>
      <c r="E213" s="93" t="s">
        <v>1406</v>
      </c>
      <c r="F213" s="29" t="s">
        <v>8</v>
      </c>
      <c r="G213" s="29" t="s">
        <v>389</v>
      </c>
      <c r="H213" s="29" t="s">
        <v>437</v>
      </c>
      <c r="I213" s="29"/>
      <c r="J213" s="29">
        <v>2218</v>
      </c>
      <c r="K213" s="32" t="s">
        <v>437</v>
      </c>
      <c r="L213" s="35" t="str">
        <f t="shared" si="17"/>
        <v>172.29.12.69</v>
      </c>
      <c r="M213" s="32">
        <v>32218</v>
      </c>
      <c r="N213" s="35" t="str">
        <f t="shared" si="18"/>
        <v>172.29.12.68</v>
      </c>
      <c r="O213" s="35">
        <f t="shared" si="19"/>
        <v>42218</v>
      </c>
      <c r="P213" s="32" t="s">
        <v>94</v>
      </c>
      <c r="Q213" s="49" t="s">
        <v>95</v>
      </c>
      <c r="R213" s="3" t="str">
        <f t="shared" ref="R213:R214" si="25">IF(C213="S",CONCATENATE(IF(A213&lt;&gt;"",CONCATENATE("""",A213,"""",":{","""","rules","""",":{"),""),"""",D213,""":{""type"":""con"",""src"":{""",M213,""":{""raddr"":""",L213,":0"",""mhdr"":""",K213,""",","""name""",":","""NODO-01","""}},","""dst"":{""mode"":""",F213,""",""raddr"":""",IF(F213="server",G213,I213),":",IF(F213="server",0,J213),""",""",IF(F213="server","lport","mhdr"),""":""",IF(F213="server",J213,""),IF(F213="server"," ",""),H213,""",","""name""",":","""",B213,IF(P213&lt;&gt;"",CONCATENATE("""},","""plugin""",": {","""file""",":""",P213,""",","""type""",":","""","RM",""""),""""),Q213),"")</f>
        <v>"5":{"type":"con","src":{"32218":{"raddr":"172.29.12.69:0","mhdr":"iBHb2","name":"NODO-01"}},"dst":{"mode":"server","raddr":"172.26.38.18:0","lport":"2218 iBHb2","name":"Red ATM CBCO in 1"},"plugin": {"file":"slb_plugin_rm_biciso.so","type":"RM"}},</v>
      </c>
    </row>
    <row r="214" spans="1:18" ht="15" thickBot="1">
      <c r="A214" s="40"/>
      <c r="B214" s="16" t="s">
        <v>130</v>
      </c>
      <c r="C214" s="16" t="s">
        <v>497</v>
      </c>
      <c r="D214" s="17">
        <v>6</v>
      </c>
      <c r="E214" s="44" t="s">
        <v>1407</v>
      </c>
      <c r="F214" s="17" t="s">
        <v>8</v>
      </c>
      <c r="G214" s="17" t="s">
        <v>389</v>
      </c>
      <c r="H214" s="17" t="s">
        <v>437</v>
      </c>
      <c r="I214" s="17"/>
      <c r="J214" s="17">
        <v>3218</v>
      </c>
      <c r="K214" s="35" t="s">
        <v>437</v>
      </c>
      <c r="L214" s="35" t="str">
        <f t="shared" si="17"/>
        <v>172.29.12.69</v>
      </c>
      <c r="M214" s="35">
        <v>33218</v>
      </c>
      <c r="N214" s="35" t="str">
        <f t="shared" si="18"/>
        <v>172.29.12.68</v>
      </c>
      <c r="O214" s="35">
        <f t="shared" si="19"/>
        <v>43218</v>
      </c>
      <c r="P214" s="35" t="s">
        <v>94</v>
      </c>
      <c r="Q214" s="36" t="s">
        <v>96</v>
      </c>
      <c r="R214" s="3" t="str">
        <f t="shared" si="25"/>
        <v>"6":{"type":"con","src":{"33218":{"raddr":"172.29.12.69:0","mhdr":"iBHb2","name":"NODO-01"}},"dst":{"mode":"server","raddr":"172.26.38.18:0","lport":"3218 iBHb2","name":"Red ATM CBCO in 2"},"plugin": {"file":"slb_plugin_rm_biciso.so","type":"RM"}}}},</v>
      </c>
    </row>
    <row r="215" spans="1:18">
      <c r="A215" s="47">
        <v>7</v>
      </c>
      <c r="B215" s="23" t="s">
        <v>143</v>
      </c>
      <c r="C215" s="10" t="s">
        <v>497</v>
      </c>
      <c r="D215" s="29">
        <v>1</v>
      </c>
      <c r="E215" s="29" t="s">
        <v>279</v>
      </c>
      <c r="F215" s="29" t="s">
        <v>14</v>
      </c>
      <c r="G215" s="29"/>
      <c r="H215" s="29" t="s">
        <v>437</v>
      </c>
      <c r="I215" s="29" t="s">
        <v>13</v>
      </c>
      <c r="J215" s="29">
        <v>4073</v>
      </c>
      <c r="K215" s="32" t="s">
        <v>437</v>
      </c>
      <c r="L215" s="32" t="str">
        <f t="shared" si="17"/>
        <v>172.29.12.69</v>
      </c>
      <c r="M215" s="32">
        <v>54073</v>
      </c>
      <c r="N215" s="32" t="str">
        <f t="shared" si="18"/>
        <v>172.29.12.68</v>
      </c>
      <c r="O215" s="32">
        <f>+M215-30000</f>
        <v>24073</v>
      </c>
      <c r="P215" s="32" t="s">
        <v>94</v>
      </c>
      <c r="Q215" s="49" t="s">
        <v>95</v>
      </c>
      <c r="R215" s="3" t="str">
        <f t="shared" si="20"/>
        <v>"7":{"rules":{"1":{"type":"con","src":{"54073":{"raddr":"172.29.12.69:0","mhdr":"iBHb2","name":"NODO-01"},"24073":{"raddr":"172.29.12.68:0","mhdr":"iBHb2","name":"NODO-02"}},"dst":{"mode":"client","raddr":"172.19.207.40:4073","mhdr":"iBHb2","name":"Red ATM Servibanca-B24 out Nal"},"plugin": {"file":"slb_plugin_rm_biciso.so","type":"RM"}},</v>
      </c>
    </row>
    <row r="216" spans="1:18">
      <c r="A216" s="30"/>
      <c r="B216" s="7" t="s">
        <v>144</v>
      </c>
      <c r="C216" s="2" t="s">
        <v>497</v>
      </c>
      <c r="D216" s="8">
        <v>2</v>
      </c>
      <c r="E216" s="8" t="s">
        <v>280</v>
      </c>
      <c r="F216" s="8" t="s">
        <v>8</v>
      </c>
      <c r="G216" s="8" t="s">
        <v>147</v>
      </c>
      <c r="H216" s="8" t="s">
        <v>437</v>
      </c>
      <c r="I216" s="8"/>
      <c r="J216" s="8">
        <v>4073</v>
      </c>
      <c r="K216" s="33" t="s">
        <v>437</v>
      </c>
      <c r="L216" s="33" t="str">
        <f t="shared" si="17"/>
        <v>172.29.12.69</v>
      </c>
      <c r="M216" s="33">
        <v>34073</v>
      </c>
      <c r="N216" s="33" t="str">
        <f t="shared" si="18"/>
        <v>172.29.12.68</v>
      </c>
      <c r="O216" s="33">
        <f t="shared" ref="O216:O218" si="26">+M216+10000</f>
        <v>44073</v>
      </c>
      <c r="P216" s="33" t="s">
        <v>94</v>
      </c>
      <c r="Q216" s="34" t="s">
        <v>95</v>
      </c>
      <c r="R216" s="3" t="str">
        <f t="shared" si="20"/>
        <v>"2":{"type":"con","src":{"34073":{"raddr":"172.29.12.69:0","mhdr":"iBHb2","name":"NODO-01"},"44073":{"raddr":"172.29.12.68:0","mhdr":"iBHb2","name":"NODO-02"}},"dst":{"mode":"server","raddr":"192.168.131.6:0","lport":"4073 iBHb2","name":"Red ATM Servibanca in Nal"},"plugin": {"file":"slb_plugin_rm_biciso.so","type":"RM"}},</v>
      </c>
    </row>
    <row r="217" spans="1:18">
      <c r="A217" s="30"/>
      <c r="B217" s="7" t="s">
        <v>145</v>
      </c>
      <c r="C217" s="2" t="s">
        <v>497</v>
      </c>
      <c r="D217" s="8">
        <v>3</v>
      </c>
      <c r="E217" s="8" t="s">
        <v>281</v>
      </c>
      <c r="F217" s="8" t="s">
        <v>14</v>
      </c>
      <c r="G217" s="8"/>
      <c r="H217" s="8" t="s">
        <v>437</v>
      </c>
      <c r="I217" s="8" t="s">
        <v>13</v>
      </c>
      <c r="J217" s="8">
        <v>2073</v>
      </c>
      <c r="K217" s="33" t="s">
        <v>437</v>
      </c>
      <c r="L217" s="33" t="str">
        <f t="shared" si="17"/>
        <v>172.29.12.69</v>
      </c>
      <c r="M217" s="33">
        <v>52073</v>
      </c>
      <c r="N217" s="33" t="str">
        <f t="shared" si="18"/>
        <v>172.29.12.68</v>
      </c>
      <c r="O217" s="33">
        <f>+M217-30000</f>
        <v>22073</v>
      </c>
      <c r="P217" s="33" t="s">
        <v>94</v>
      </c>
      <c r="Q217" s="34" t="s">
        <v>95</v>
      </c>
      <c r="R217" s="3" t="str">
        <f t="shared" si="20"/>
        <v>"3":{"type":"con","src":{"52073":{"raddr":"172.29.12.69:0","mhdr":"iBHb2","name":"NODO-01"},"22073":{"raddr":"172.29.12.68:0","mhdr":"iBHb2","name":"NODO-02"}},"dst":{"mode":"client","raddr":"172.19.207.40:2073","mhdr":"iBHb2","name":"Red ATM Servibanca-B24 out Int"},"plugin": {"file":"slb_plugin_rm_biciso.so","type":"RM"}},</v>
      </c>
    </row>
    <row r="218" spans="1:18" ht="15" thickBot="1">
      <c r="A218" s="40"/>
      <c r="B218" s="16" t="s">
        <v>146</v>
      </c>
      <c r="C218" s="14" t="s">
        <v>497</v>
      </c>
      <c r="D218" s="17">
        <v>4</v>
      </c>
      <c r="E218" s="17" t="s">
        <v>282</v>
      </c>
      <c r="F218" s="17" t="s">
        <v>8</v>
      </c>
      <c r="G218" s="17" t="s">
        <v>147</v>
      </c>
      <c r="H218" s="17" t="s">
        <v>437</v>
      </c>
      <c r="I218" s="17"/>
      <c r="J218" s="17">
        <v>2073</v>
      </c>
      <c r="K218" s="35" t="s">
        <v>437</v>
      </c>
      <c r="L218" s="35" t="str">
        <f t="shared" si="17"/>
        <v>172.29.12.69</v>
      </c>
      <c r="M218" s="35">
        <v>32073</v>
      </c>
      <c r="N218" s="35" t="str">
        <f t="shared" si="18"/>
        <v>172.29.12.68</v>
      </c>
      <c r="O218" s="35">
        <f t="shared" si="26"/>
        <v>42073</v>
      </c>
      <c r="P218" s="35" t="s">
        <v>94</v>
      </c>
      <c r="Q218" s="36" t="s">
        <v>96</v>
      </c>
      <c r="R218" s="3" t="str">
        <f t="shared" si="20"/>
        <v>"4":{"type":"con","src":{"32073":{"raddr":"172.29.12.69:0","mhdr":"iBHb2","name":"NODO-01"},"42073":{"raddr":"172.29.12.68:0","mhdr":"iBHb2","name":"NODO-02"}},"dst":{"mode":"server","raddr":"192.168.131.6:0","lport":"2073 iBHb2","name":"Red ATM Servibanca in Int"},"plugin": {"file":"slb_plugin_rm_biciso.so","type":"RM"}}}},</v>
      </c>
    </row>
    <row r="219" spans="1:18">
      <c r="A219" s="47">
        <v>8</v>
      </c>
      <c r="B219" s="23" t="s">
        <v>148</v>
      </c>
      <c r="C219" s="10" t="s">
        <v>497</v>
      </c>
      <c r="D219" s="29">
        <v>1</v>
      </c>
      <c r="E219" s="29" t="s">
        <v>283</v>
      </c>
      <c r="F219" s="29" t="s">
        <v>14</v>
      </c>
      <c r="G219" s="29"/>
      <c r="H219" s="29" t="s">
        <v>437</v>
      </c>
      <c r="I219" s="29" t="s">
        <v>13</v>
      </c>
      <c r="J219" s="29">
        <v>7777</v>
      </c>
      <c r="K219" s="32" t="s">
        <v>437</v>
      </c>
      <c r="L219" s="32" t="str">
        <f t="shared" si="17"/>
        <v>172.29.12.69</v>
      </c>
      <c r="M219" s="32">
        <v>30420</v>
      </c>
      <c r="N219" s="32" t="str">
        <f t="shared" si="18"/>
        <v>172.29.12.68</v>
      </c>
      <c r="O219" s="32">
        <v>30420</v>
      </c>
      <c r="P219" s="32" t="s">
        <v>94</v>
      </c>
      <c r="Q219" s="49" t="s">
        <v>95</v>
      </c>
      <c r="R219" s="3" t="str">
        <f t="shared" si="20"/>
        <v>"8":{"rules":{"1":{"type":"con","src":{"30420":{"raddr":"172.29.12.69:0","mhdr":"iBHb2","name":"NODO-01"},"30420":{"raddr":"172.29.12.68:0","mhdr":"iBHb2","name":"NODO-02"}},"dst":{"mode":"client","raddr":"172.19.207.40:7777","mhdr":"iBHb2","name":"MC BICISO Ntwk In 1"},"plugin": {"file":"slb_plugin_rm_biciso.so","type":"RM"}},</v>
      </c>
    </row>
    <row r="220" spans="1:18" ht="15" thickBot="1">
      <c r="A220" s="40"/>
      <c r="B220" s="16" t="s">
        <v>149</v>
      </c>
      <c r="C220" s="14" t="s">
        <v>497</v>
      </c>
      <c r="D220" s="17">
        <v>2</v>
      </c>
      <c r="E220" s="17" t="s">
        <v>284</v>
      </c>
      <c r="F220" s="17" t="s">
        <v>14</v>
      </c>
      <c r="G220" s="17"/>
      <c r="H220" s="17" t="s">
        <v>437</v>
      </c>
      <c r="I220" s="17" t="s">
        <v>13</v>
      </c>
      <c r="J220" s="17">
        <v>7778</v>
      </c>
      <c r="K220" s="35" t="s">
        <v>437</v>
      </c>
      <c r="L220" s="35" t="str">
        <f t="shared" si="17"/>
        <v>172.29.12.69</v>
      </c>
      <c r="M220" s="35">
        <v>30440</v>
      </c>
      <c r="N220" s="35" t="str">
        <f t="shared" si="18"/>
        <v>172.29.12.68</v>
      </c>
      <c r="O220" s="35">
        <v>30440</v>
      </c>
      <c r="P220" s="35" t="s">
        <v>94</v>
      </c>
      <c r="Q220" s="36" t="s">
        <v>96</v>
      </c>
      <c r="R220" s="3" t="str">
        <f t="shared" si="20"/>
        <v>"2":{"type":"con","src":{"30440":{"raddr":"172.29.12.69:0","mhdr":"iBHb2","name":"NODO-01"},"30440":{"raddr":"172.29.12.68:0","mhdr":"iBHb2","name":"NODO-02"}},"dst":{"mode":"client","raddr":"172.19.207.40:7778","mhdr":"iBHb2","name":"MC BICISO Ntwk In 2"},"plugin": {"file":"slb_plugin_rm_biciso.so","type":"RM"}}}},</v>
      </c>
    </row>
    <row r="221" spans="1:18">
      <c r="A221" s="92">
        <v>9</v>
      </c>
      <c r="B221" s="23" t="s">
        <v>150</v>
      </c>
      <c r="C221" s="10" t="s">
        <v>496</v>
      </c>
      <c r="D221" s="29">
        <v>1</v>
      </c>
      <c r="E221" s="29" t="s">
        <v>285</v>
      </c>
      <c r="F221" s="29" t="s">
        <v>8</v>
      </c>
      <c r="G221" s="29" t="s">
        <v>440</v>
      </c>
      <c r="H221" s="29" t="s">
        <v>437</v>
      </c>
      <c r="I221" s="10"/>
      <c r="J221" s="29">
        <v>3234</v>
      </c>
      <c r="K221" s="32" t="s">
        <v>437</v>
      </c>
      <c r="L221" s="32" t="str">
        <f t="shared" si="17"/>
        <v>172.29.12.69</v>
      </c>
      <c r="M221" s="32">
        <v>33234</v>
      </c>
      <c r="N221" s="32" t="str">
        <f t="shared" si="18"/>
        <v>172.29.12.68</v>
      </c>
      <c r="O221" s="32">
        <f t="shared" ref="O221:O223" si="27">+M221+10000</f>
        <v>43234</v>
      </c>
      <c r="P221" s="32" t="s">
        <v>94</v>
      </c>
      <c r="Q221" s="49" t="s">
        <v>95</v>
      </c>
      <c r="R221" s="3" t="str">
        <f t="shared" si="20"/>
        <v>"9":{"rules":{"1":{"type":"con","src":{"33234":{"raddr":"172.29.12.69:0","mhdr":"iBHb2","name":"NODO-01"},"43234":{"raddr":"172.29.12.68:0","mhdr":"iBHb2","name":"NODO-02"}},"dst":{"mode":"server","raddr":"10.2.34.18:0","lport":"3234 iBHb2","name":"Red ATM Davivienda in 1"},"plugin": {"file":"slb_plugin_rm_biciso.so","type":"RM"}},</v>
      </c>
    </row>
    <row r="222" spans="1:18">
      <c r="A222" s="63"/>
      <c r="B222" s="7" t="s">
        <v>151</v>
      </c>
      <c r="C222" s="2" t="s">
        <v>496</v>
      </c>
      <c r="D222" s="8">
        <v>2</v>
      </c>
      <c r="E222" s="8" t="s">
        <v>286</v>
      </c>
      <c r="F222" s="8" t="s">
        <v>14</v>
      </c>
      <c r="G222" s="8"/>
      <c r="H222" s="8" t="s">
        <v>437</v>
      </c>
      <c r="I222" s="8" t="s">
        <v>13</v>
      </c>
      <c r="J222" s="8">
        <v>3234</v>
      </c>
      <c r="K222" s="33" t="s">
        <v>437</v>
      </c>
      <c r="L222" s="33" t="str">
        <f t="shared" si="17"/>
        <v>172.29.12.69</v>
      </c>
      <c r="M222" s="33">
        <v>53234</v>
      </c>
      <c r="N222" s="33" t="str">
        <f t="shared" si="18"/>
        <v>172.29.12.68</v>
      </c>
      <c r="O222" s="33">
        <f>+M222-30000</f>
        <v>23234</v>
      </c>
      <c r="P222" s="33" t="s">
        <v>94</v>
      </c>
      <c r="Q222" s="34" t="s">
        <v>95</v>
      </c>
      <c r="R222" s="3" t="str">
        <f t="shared" si="20"/>
        <v>"2":{"type":"con","src":{"53234":{"raddr":"172.29.12.69:0","mhdr":"iBHb2","name":"NODO-01"},"23234":{"raddr":"172.29.12.68:0","mhdr":"iBHb2","name":"NODO-02"}},"dst":{"mode":"client","raddr":"172.19.207.40:3234","mhdr":"iBHb2","name":"Red ATM Davivienda-B24 out 1"},"plugin": {"file":"slb_plugin_rm_biciso.so","type":"RM"}},</v>
      </c>
    </row>
    <row r="223" spans="1:18">
      <c r="A223" s="63"/>
      <c r="B223" s="7" t="s">
        <v>152</v>
      </c>
      <c r="C223" s="2" t="s">
        <v>496</v>
      </c>
      <c r="D223" s="8">
        <v>3</v>
      </c>
      <c r="E223" s="8" t="s">
        <v>287</v>
      </c>
      <c r="F223" s="8" t="s">
        <v>8</v>
      </c>
      <c r="G223" s="8" t="s">
        <v>440</v>
      </c>
      <c r="H223" s="8" t="s">
        <v>437</v>
      </c>
      <c r="I223" s="2"/>
      <c r="J223" s="8">
        <v>3151</v>
      </c>
      <c r="K223" s="33" t="s">
        <v>437</v>
      </c>
      <c r="L223" s="33" t="str">
        <f t="shared" si="17"/>
        <v>172.29.12.69</v>
      </c>
      <c r="M223" s="33">
        <v>33151</v>
      </c>
      <c r="N223" s="33" t="str">
        <f t="shared" si="18"/>
        <v>172.29.12.68</v>
      </c>
      <c r="O223" s="33">
        <f t="shared" si="27"/>
        <v>43151</v>
      </c>
      <c r="P223" s="33" t="s">
        <v>94</v>
      </c>
      <c r="Q223" s="34" t="s">
        <v>95</v>
      </c>
      <c r="R223" s="3" t="str">
        <f t="shared" si="20"/>
        <v>"3":{"type":"con","src":{"33151":{"raddr":"172.29.12.69:0","mhdr":"iBHb2","name":"NODO-01"},"43151":{"raddr":"172.29.12.68:0","mhdr":"iBHb2","name":"NODO-02"}},"dst":{"mode":"server","raddr":"10.2.34.18:0","lport":"3151 iBHb2","name":"Red ATM Davivienda in 2"},"plugin": {"file":"slb_plugin_rm_biciso.so","type":"RM"}},</v>
      </c>
    </row>
    <row r="224" spans="1:18" ht="15" thickBot="1">
      <c r="A224" s="64"/>
      <c r="B224" s="16" t="s">
        <v>153</v>
      </c>
      <c r="C224" s="14" t="s">
        <v>496</v>
      </c>
      <c r="D224" s="17">
        <v>4</v>
      </c>
      <c r="E224" s="17" t="s">
        <v>288</v>
      </c>
      <c r="F224" s="17" t="s">
        <v>14</v>
      </c>
      <c r="G224" s="17"/>
      <c r="H224" s="17" t="s">
        <v>437</v>
      </c>
      <c r="I224" s="17" t="s">
        <v>13</v>
      </c>
      <c r="J224" s="17">
        <v>3151</v>
      </c>
      <c r="K224" s="35" t="s">
        <v>437</v>
      </c>
      <c r="L224" s="35" t="str">
        <f t="shared" si="17"/>
        <v>172.29.12.69</v>
      </c>
      <c r="M224" s="35">
        <v>53151</v>
      </c>
      <c r="N224" s="35" t="str">
        <f t="shared" si="18"/>
        <v>172.29.12.68</v>
      </c>
      <c r="O224" s="35">
        <f>+M224-30000</f>
        <v>23151</v>
      </c>
      <c r="P224" s="35" t="s">
        <v>94</v>
      </c>
      <c r="Q224" s="36" t="s">
        <v>95</v>
      </c>
      <c r="R224" s="3" t="str">
        <f t="shared" si="20"/>
        <v>"4":{"type":"con","src":{"53151":{"raddr":"172.29.12.69:0","mhdr":"iBHb2","name":"NODO-01"},"23151":{"raddr":"172.29.12.68:0","mhdr":"iBHb2","name":"NODO-02"}},"dst":{"mode":"client","raddr":"172.19.207.40:3151","mhdr":"iBHb2","name":"Red ATM Davivienda-B24 out 2"},"plugin": {"file":"slb_plugin_rm_biciso.so","type":"RM"}},</v>
      </c>
    </row>
    <row r="225" spans="1:18" ht="15" thickBot="1">
      <c r="A225" s="126"/>
      <c r="B225" s="18" t="s">
        <v>1398</v>
      </c>
      <c r="C225" s="18" t="s">
        <v>496</v>
      </c>
      <c r="D225" s="19">
        <v>5</v>
      </c>
      <c r="E225" s="42" t="s">
        <v>1402</v>
      </c>
      <c r="F225" s="19" t="s">
        <v>8</v>
      </c>
      <c r="G225" s="19" t="s">
        <v>208</v>
      </c>
      <c r="H225" s="19" t="s">
        <v>437</v>
      </c>
      <c r="I225" s="19"/>
      <c r="J225" s="6">
        <v>8151</v>
      </c>
      <c r="K225" s="37" t="s">
        <v>437</v>
      </c>
      <c r="L225" s="35" t="str">
        <f t="shared" si="21"/>
        <v>172.29.12.69</v>
      </c>
      <c r="M225" s="37">
        <f>J225+30000</f>
        <v>38151</v>
      </c>
      <c r="N225" s="33" t="str">
        <f t="shared" si="22"/>
        <v>172.29.12.68</v>
      </c>
      <c r="O225" s="37">
        <f>J225+40000</f>
        <v>48151</v>
      </c>
      <c r="P225" s="33" t="s">
        <v>94</v>
      </c>
      <c r="Q225" s="49" t="s">
        <v>95</v>
      </c>
      <c r="R225" s="3" t="str">
        <f t="shared" ref="R225:R228" si="28">CONCATENATE(IF(A225&lt;&gt;"",CONCATENATE("""",A225,"""",":{","""","rules","""",":{"),""),"""",D225,""":{""type"":""con"",""src"":{""",M225,""":{""raddr"":""",L225,":0"",""mhdr"":""",K225,""",","""name""",":","""NODO-01","""},""",O225,""":{""raddr"":""",N225,":0"",""mhdr"":""",K225,""",","""name""",":","""NODO-02","""}},","""dst"":{""mode"":""",F225,""",""raddr"":""",IF(F225="server",G225,I225),":",IF(F225="server",0,J225),""",""",IF(F225="server","lport","mhdr"),""":""",IF(F225="server",J225,""),IF(F225="server"," ",""),K225,""",","""name""",":","""",B225,IF(P225&lt;&gt;"",CONCATENATE("""},","""plugin""",": {","""file""",":""",P225,""",","""type""",":","""","RM",""""),""""),Q225)</f>
        <v>"5":{"type":"con","src":{"38151":{"raddr":"172.29.12.69:0","mhdr":"iBHb2","name":"NODO-01"},"48151":{"raddr":"172.29.12.68:0","mhdr":"iBHb2","name":"NODO-02"}},"dst":{"mode":"server","raddr":"0.0.0.0:0","lport":"8151 iBHb2","name":"Davivienda Visa CR-1"},"plugin": {"file":"slb_plugin_rm_biciso.so","type":"RM"}},</v>
      </c>
    </row>
    <row r="226" spans="1:18" ht="15" thickBot="1">
      <c r="A226" s="126"/>
      <c r="B226" s="18" t="s">
        <v>1399</v>
      </c>
      <c r="C226" s="18" t="s">
        <v>496</v>
      </c>
      <c r="D226" s="19">
        <v>6</v>
      </c>
      <c r="E226" s="42" t="s">
        <v>1403</v>
      </c>
      <c r="F226" s="19" t="s">
        <v>8</v>
      </c>
      <c r="G226" s="19" t="s">
        <v>208</v>
      </c>
      <c r="H226" s="19" t="s">
        <v>437</v>
      </c>
      <c r="I226" s="19"/>
      <c r="J226" s="6">
        <v>9151</v>
      </c>
      <c r="K226" s="37" t="s">
        <v>437</v>
      </c>
      <c r="L226" s="35" t="str">
        <f t="shared" si="21"/>
        <v>172.29.12.69</v>
      </c>
      <c r="M226" s="37">
        <f t="shared" ref="M226:M228" si="29">J226+30000</f>
        <v>39151</v>
      </c>
      <c r="N226" s="33" t="str">
        <f t="shared" si="22"/>
        <v>172.29.12.68</v>
      </c>
      <c r="O226" s="37">
        <f t="shared" ref="O226:O228" si="30">J226+40000</f>
        <v>49151</v>
      </c>
      <c r="P226" s="33" t="s">
        <v>94</v>
      </c>
      <c r="Q226" s="34" t="s">
        <v>95</v>
      </c>
      <c r="R226" s="3" t="str">
        <f t="shared" si="28"/>
        <v>"6":{"type":"con","src":{"39151":{"raddr":"172.29.12.69:0","mhdr":"iBHb2","name":"NODO-01"},"49151":{"raddr":"172.29.12.68:0","mhdr":"iBHb2","name":"NODO-02"}},"dst":{"mode":"server","raddr":"0.0.0.0:0","lport":"9151 iBHb2","name":"Davivienda Visa CR-2"},"plugin": {"file":"slb_plugin_rm_biciso.so","type":"RM"}},</v>
      </c>
    </row>
    <row r="227" spans="1:18" ht="15" thickBot="1">
      <c r="A227" s="126"/>
      <c r="B227" s="18" t="s">
        <v>1400</v>
      </c>
      <c r="C227" s="18" t="s">
        <v>496</v>
      </c>
      <c r="D227" s="19">
        <v>7</v>
      </c>
      <c r="E227" s="42" t="s">
        <v>1404</v>
      </c>
      <c r="F227" s="19" t="s">
        <v>8</v>
      </c>
      <c r="G227" s="19" t="s">
        <v>208</v>
      </c>
      <c r="H227" s="19" t="s">
        <v>437</v>
      </c>
      <c r="I227" s="19"/>
      <c r="J227" s="19">
        <v>6234</v>
      </c>
      <c r="K227" s="37" t="s">
        <v>437</v>
      </c>
      <c r="L227" s="35" t="str">
        <f t="shared" si="21"/>
        <v>172.29.12.69</v>
      </c>
      <c r="M227" s="37">
        <f t="shared" si="29"/>
        <v>36234</v>
      </c>
      <c r="N227" s="33" t="str">
        <f t="shared" si="22"/>
        <v>172.29.12.68</v>
      </c>
      <c r="O227" s="37">
        <f t="shared" si="30"/>
        <v>46234</v>
      </c>
      <c r="P227" s="33" t="s">
        <v>94</v>
      </c>
      <c r="Q227" s="34" t="s">
        <v>95</v>
      </c>
      <c r="R227" s="3" t="str">
        <f t="shared" si="28"/>
        <v>"7":{"type":"con","src":{"36234":{"raddr":"172.29.12.69:0","mhdr":"iBHb2","name":"NODO-01"},"46234":{"raddr":"172.29.12.68:0","mhdr":"iBHb2","name":"NODO-02"}},"dst":{"mode":"server","raddr":"0.0.0.0:0","lport":"6234 iBHb2","name":"Davivienda Diners 1"},"plugin": {"file":"slb_plugin_rm_biciso.so","type":"RM"}},</v>
      </c>
    </row>
    <row r="228" spans="1:18" ht="15" thickBot="1">
      <c r="A228" s="126"/>
      <c r="B228" s="18" t="s">
        <v>1401</v>
      </c>
      <c r="C228" s="18" t="s">
        <v>496</v>
      </c>
      <c r="D228" s="19">
        <v>8</v>
      </c>
      <c r="E228" s="42" t="s">
        <v>1405</v>
      </c>
      <c r="F228" s="19" t="s">
        <v>8</v>
      </c>
      <c r="G228" s="19" t="s">
        <v>208</v>
      </c>
      <c r="H228" s="19" t="s">
        <v>437</v>
      </c>
      <c r="I228" s="19"/>
      <c r="J228" s="19">
        <v>7234</v>
      </c>
      <c r="K228" s="37" t="s">
        <v>437</v>
      </c>
      <c r="L228" s="35" t="str">
        <f t="shared" si="21"/>
        <v>172.29.12.69</v>
      </c>
      <c r="M228" s="37">
        <f t="shared" si="29"/>
        <v>37234</v>
      </c>
      <c r="N228" s="33" t="str">
        <f t="shared" ref="N228" si="31">+$B$175</f>
        <v>172.29.12.68</v>
      </c>
      <c r="O228" s="37">
        <f t="shared" si="30"/>
        <v>47234</v>
      </c>
      <c r="P228" s="33" t="s">
        <v>94</v>
      </c>
      <c r="Q228" s="36" t="s">
        <v>96</v>
      </c>
      <c r="R228" s="3" t="str">
        <f t="shared" si="28"/>
        <v>"8":{"type":"con","src":{"37234":{"raddr":"172.29.12.69:0","mhdr":"iBHb2","name":"NODO-01"},"47234":{"raddr":"172.29.12.68:0","mhdr":"iBHb2","name":"NODO-02"}},"dst":{"mode":"server","raddr":"0.0.0.0:0","lport":"7234 iBHb2","name":"Davivienda Diners 2"},"plugin": {"file":"slb_plugin_rm_biciso.so","type":"RM"}}}},</v>
      </c>
    </row>
    <row r="229" spans="1:18">
      <c r="A229" s="47">
        <v>10</v>
      </c>
      <c r="B229" s="23" t="s">
        <v>73</v>
      </c>
      <c r="C229" s="10" t="s">
        <v>496</v>
      </c>
      <c r="D229" s="29">
        <v>1</v>
      </c>
      <c r="E229" s="29" t="s">
        <v>289</v>
      </c>
      <c r="F229" s="29" t="s">
        <v>8</v>
      </c>
      <c r="G229" s="29" t="s">
        <v>13</v>
      </c>
      <c r="H229" s="29" t="s">
        <v>156</v>
      </c>
      <c r="I229" s="29"/>
      <c r="J229" s="29">
        <v>10150</v>
      </c>
      <c r="K229" s="32" t="s">
        <v>156</v>
      </c>
      <c r="L229" s="32" t="str">
        <f t="shared" si="17"/>
        <v>172.29.12.69</v>
      </c>
      <c r="M229" s="32">
        <v>30500</v>
      </c>
      <c r="N229" s="32" t="str">
        <f t="shared" si="18"/>
        <v>172.29.12.68</v>
      </c>
      <c r="O229" s="32">
        <f t="shared" si="19"/>
        <v>40500</v>
      </c>
      <c r="P229" s="32" t="s">
        <v>157</v>
      </c>
      <c r="Q229" s="49" t="s">
        <v>95</v>
      </c>
      <c r="R229" s="3" t="str">
        <f t="shared" si="20"/>
        <v>"10":{"rules":{"1":{"type":"con","src":{"30500":{"raddr":"172.29.12.69:0","mhdr":"visa","name":"NODO-01"},"40500":{"raddr":"172.29.12.68:0","mhdr":"visa","name":"NODO-02"}},"dst":{"mode":"server","raddr":"172.19.207.40:0","lport":"10150 visa","name":"VISA (B24-SV) PT In 1"},"plugin": {"file":"slb_plugin_rm_visa.so","type":"RM"}},</v>
      </c>
    </row>
    <row r="230" spans="1:18">
      <c r="A230" s="30"/>
      <c r="B230" s="7" t="s">
        <v>72</v>
      </c>
      <c r="C230" s="2" t="s">
        <v>496</v>
      </c>
      <c r="D230" s="8">
        <v>2</v>
      </c>
      <c r="E230" s="8" t="s">
        <v>290</v>
      </c>
      <c r="F230" s="8" t="s">
        <v>14</v>
      </c>
      <c r="G230" s="8"/>
      <c r="H230" s="8" t="s">
        <v>156</v>
      </c>
      <c r="I230" s="8" t="s">
        <v>75</v>
      </c>
      <c r="J230" s="8">
        <v>1050</v>
      </c>
      <c r="K230" s="33" t="s">
        <v>156</v>
      </c>
      <c r="L230" s="33" t="str">
        <f t="shared" si="17"/>
        <v>172.29.12.69</v>
      </c>
      <c r="M230" s="33">
        <v>30510</v>
      </c>
      <c r="N230" s="33" t="str">
        <f t="shared" si="18"/>
        <v>172.29.12.68</v>
      </c>
      <c r="O230" s="33">
        <f t="shared" si="19"/>
        <v>40510</v>
      </c>
      <c r="P230" s="33" t="s">
        <v>157</v>
      </c>
      <c r="Q230" s="34" t="s">
        <v>95</v>
      </c>
      <c r="R230" s="3" t="str">
        <f t="shared" si="20"/>
        <v>"2":{"type":"con","src":{"30510":{"raddr":"172.29.12.69:0","mhdr":"visa","name":"NODO-01"},"40510":{"raddr":"172.29.12.68:0","mhdr":"visa","name":"NODO-02"}},"dst":{"mode":"client","raddr":"172.26.34.135:1050","mhdr":"visa","name":"Red Visa Out 1"},"plugin": {"file":"slb_plugin_rm_visa.so","type":"RM"}},</v>
      </c>
    </row>
    <row r="231" spans="1:18">
      <c r="A231" s="30"/>
      <c r="B231" s="7" t="s">
        <v>74</v>
      </c>
      <c r="C231" s="2" t="s">
        <v>496</v>
      </c>
      <c r="D231" s="8">
        <v>3</v>
      </c>
      <c r="E231" s="8" t="s">
        <v>291</v>
      </c>
      <c r="F231" s="8" t="s">
        <v>8</v>
      </c>
      <c r="G231" s="8" t="s">
        <v>13</v>
      </c>
      <c r="H231" s="8" t="s">
        <v>156</v>
      </c>
      <c r="I231" s="8"/>
      <c r="J231" s="8">
        <v>10154</v>
      </c>
      <c r="K231" s="33" t="s">
        <v>156</v>
      </c>
      <c r="L231" s="33" t="str">
        <f t="shared" si="17"/>
        <v>172.29.12.69</v>
      </c>
      <c r="M231" s="33">
        <v>30520</v>
      </c>
      <c r="N231" s="33" t="str">
        <f t="shared" si="18"/>
        <v>172.29.12.68</v>
      </c>
      <c r="O231" s="33">
        <f t="shared" si="19"/>
        <v>40520</v>
      </c>
      <c r="P231" s="33" t="s">
        <v>157</v>
      </c>
      <c r="Q231" s="34" t="s">
        <v>95</v>
      </c>
      <c r="R231" s="3" t="str">
        <f t="shared" si="20"/>
        <v>"3":{"type":"con","src":{"30520":{"raddr":"172.29.12.69:0","mhdr":"visa","name":"NODO-01"},"40520":{"raddr":"172.29.12.68:0","mhdr":"visa","name":"NODO-02"}},"dst":{"mode":"server","raddr":"172.19.207.40:0","lport":"10154 visa","name":"VISA (B24-SV) PT In 2"},"plugin": {"file":"slb_plugin_rm_visa.so","type":"RM"}},</v>
      </c>
    </row>
    <row r="232" spans="1:18">
      <c r="A232" s="30"/>
      <c r="B232" s="7" t="s">
        <v>71</v>
      </c>
      <c r="C232" s="2" t="s">
        <v>496</v>
      </c>
      <c r="D232" s="8">
        <v>4</v>
      </c>
      <c r="E232" s="8" t="s">
        <v>292</v>
      </c>
      <c r="F232" s="8" t="s">
        <v>14</v>
      </c>
      <c r="G232" s="8"/>
      <c r="H232" s="8" t="s">
        <v>156</v>
      </c>
      <c r="I232" s="8" t="s">
        <v>158</v>
      </c>
      <c r="J232" s="8">
        <v>1054</v>
      </c>
      <c r="K232" s="33" t="s">
        <v>156</v>
      </c>
      <c r="L232" s="33" t="str">
        <f t="shared" si="17"/>
        <v>172.29.12.69</v>
      </c>
      <c r="M232" s="33">
        <v>30530</v>
      </c>
      <c r="N232" s="33" t="str">
        <f t="shared" si="18"/>
        <v>172.29.12.68</v>
      </c>
      <c r="O232" s="33">
        <f t="shared" si="19"/>
        <v>40530</v>
      </c>
      <c r="P232" s="33" t="s">
        <v>157</v>
      </c>
      <c r="Q232" s="34" t="s">
        <v>95</v>
      </c>
      <c r="R232" s="3" t="str">
        <f t="shared" si="20"/>
        <v>"4":{"type":"con","src":{"30530":{"raddr":"172.29.12.69:0","mhdr":"visa","name":"NODO-01"},"40530":{"raddr":"172.29.12.68:0","mhdr":"visa","name":"NODO-02"}},"dst":{"mode":"client","raddr":"172.26.9.73:1054","mhdr":"visa","name":"Red Visa Out 2"},"plugin": {"file":"slb_plugin_rm_visa.so","type":"RM"}},</v>
      </c>
    </row>
    <row r="233" spans="1:18">
      <c r="A233" s="30"/>
      <c r="B233" s="7" t="s">
        <v>154</v>
      </c>
      <c r="C233" s="2" t="s">
        <v>497</v>
      </c>
      <c r="D233" s="8">
        <v>5</v>
      </c>
      <c r="E233" s="8" t="s">
        <v>293</v>
      </c>
      <c r="F233" s="8" t="s">
        <v>8</v>
      </c>
      <c r="G233" s="8" t="s">
        <v>13</v>
      </c>
      <c r="H233" s="8" t="s">
        <v>156</v>
      </c>
      <c r="I233" s="8"/>
      <c r="J233" s="8">
        <v>11102</v>
      </c>
      <c r="K233" s="33" t="s">
        <v>156</v>
      </c>
      <c r="L233" s="33" t="str">
        <f t="shared" si="17"/>
        <v>172.29.12.69</v>
      </c>
      <c r="M233" s="33">
        <v>30540</v>
      </c>
      <c r="N233" s="33" t="str">
        <f t="shared" si="18"/>
        <v>172.29.12.68</v>
      </c>
      <c r="O233" s="33">
        <f t="shared" si="19"/>
        <v>40540</v>
      </c>
      <c r="P233" s="33" t="s">
        <v>157</v>
      </c>
      <c r="Q233" s="34" t="s">
        <v>95</v>
      </c>
      <c r="R233" s="3" t="str">
        <f t="shared" si="20"/>
        <v>"5":{"type":"con","src":{"30540":{"raddr":"172.29.12.69:0","mhdr":"visa","name":"NODO-01"},"40540":{"raddr":"172.29.12.68:0","mhdr":"visa","name":"NODO-02"}},"dst":{"mode":"server","raddr":"172.19.207.40:0","lport":"11102 visa","name":"Visa SIM 852125(B24-SV) PT In"},"plugin": {"file":"slb_plugin_rm_visa.so","type":"RM"}},</v>
      </c>
    </row>
    <row r="234" spans="1:18" ht="15" thickBot="1">
      <c r="A234" s="40"/>
      <c r="B234" s="16" t="s">
        <v>155</v>
      </c>
      <c r="C234" s="14" t="s">
        <v>497</v>
      </c>
      <c r="D234" s="17">
        <v>6</v>
      </c>
      <c r="E234" s="17" t="s">
        <v>294</v>
      </c>
      <c r="F234" s="17" t="s">
        <v>14</v>
      </c>
      <c r="G234" s="17"/>
      <c r="H234" s="17" t="s">
        <v>156</v>
      </c>
      <c r="I234" s="17" t="s">
        <v>75</v>
      </c>
      <c r="J234" s="17">
        <v>11102</v>
      </c>
      <c r="K234" s="35" t="s">
        <v>156</v>
      </c>
      <c r="L234" s="35" t="str">
        <f t="shared" si="17"/>
        <v>172.29.12.69</v>
      </c>
      <c r="M234" s="35">
        <v>30550</v>
      </c>
      <c r="N234" s="35" t="str">
        <f t="shared" si="18"/>
        <v>172.29.12.68</v>
      </c>
      <c r="O234" s="35">
        <f t="shared" si="19"/>
        <v>40550</v>
      </c>
      <c r="P234" s="35" t="s">
        <v>157</v>
      </c>
      <c r="Q234" s="36" t="s">
        <v>96</v>
      </c>
      <c r="R234" s="3" t="str">
        <f t="shared" si="20"/>
        <v>"6":{"type":"con","src":{"30550":{"raddr":"172.29.12.69:0","mhdr":"visa","name":"NODO-01"},"40550":{"raddr":"172.29.12.68:0","mhdr":"visa","name":"NODO-02"}},"dst":{"mode":"client","raddr":"172.26.34.135:11102","mhdr":"visa","name":"Visa SIM 852125(SV-SIM) PT Out"},"plugin": {"file":"slb_plugin_rm_visa.so","type":"RM"}}}},</v>
      </c>
    </row>
    <row r="235" spans="1:18">
      <c r="A235" s="47">
        <v>11</v>
      </c>
      <c r="B235" s="23" t="s">
        <v>159</v>
      </c>
      <c r="C235" s="10" t="s">
        <v>497</v>
      </c>
      <c r="D235" s="29">
        <v>1</v>
      </c>
      <c r="E235" s="29" t="s">
        <v>295</v>
      </c>
      <c r="F235" s="29" t="s">
        <v>8</v>
      </c>
      <c r="G235" s="29" t="s">
        <v>505</v>
      </c>
      <c r="H235" s="29" t="s">
        <v>55</v>
      </c>
      <c r="I235" s="29"/>
      <c r="J235" s="29">
        <v>4200</v>
      </c>
      <c r="K235" s="32" t="s">
        <v>55</v>
      </c>
      <c r="L235" s="32" t="str">
        <f t="shared" si="17"/>
        <v>172.29.12.69</v>
      </c>
      <c r="M235" s="32">
        <v>30630</v>
      </c>
      <c r="N235" s="32" t="str">
        <f t="shared" si="18"/>
        <v>172.29.12.68</v>
      </c>
      <c r="O235" s="32">
        <f t="shared" si="19"/>
        <v>40630</v>
      </c>
      <c r="P235" s="32" t="s">
        <v>94</v>
      </c>
      <c r="Q235" s="49" t="s">
        <v>95</v>
      </c>
      <c r="R235" s="3" t="str">
        <f t="shared" si="20"/>
        <v>"11":{"rules":{"1":{"type":"con","src":{"30630":{"raddr":"172.29.12.69:0","mhdr":"BHb2","name":"NODO-01"},"40630":{"raddr":"172.29.12.68:0","mhdr":"BHb2","name":"NODO-02"}},"dst":{"mode":"server","raddr":"172.27.1.176:0","lport":"4200 BHb2","name":"Vpayment In"},"plugin": {"file":"slb_plugin_rm_biciso.so","type":"RM"}},</v>
      </c>
    </row>
    <row r="236" spans="1:18" ht="15" thickBot="1">
      <c r="A236" s="40"/>
      <c r="B236" s="16" t="s">
        <v>160</v>
      </c>
      <c r="C236" s="14" t="s">
        <v>497</v>
      </c>
      <c r="D236" s="17">
        <v>2</v>
      </c>
      <c r="E236" s="17" t="s">
        <v>297</v>
      </c>
      <c r="F236" s="17" t="s">
        <v>14</v>
      </c>
      <c r="G236" s="17"/>
      <c r="H236" s="17" t="s">
        <v>55</v>
      </c>
      <c r="I236" s="17" t="s">
        <v>13</v>
      </c>
      <c r="J236" s="17">
        <v>42009</v>
      </c>
      <c r="K236" s="35" t="s">
        <v>55</v>
      </c>
      <c r="L236" s="35" t="str">
        <f t="shared" si="17"/>
        <v>172.29.12.69</v>
      </c>
      <c r="M236" s="35">
        <v>30640</v>
      </c>
      <c r="N236" s="35" t="str">
        <f t="shared" si="18"/>
        <v>172.29.12.68</v>
      </c>
      <c r="O236" s="35">
        <f t="shared" si="19"/>
        <v>40640</v>
      </c>
      <c r="P236" s="35" t="s">
        <v>94</v>
      </c>
      <c r="Q236" s="36" t="s">
        <v>96</v>
      </c>
      <c r="R236" s="3" t="str">
        <f t="shared" si="20"/>
        <v>"2":{"type":"con","src":{"30640":{"raddr":"172.29.12.69:0","mhdr":"BHb2","name":"NODO-01"},"40640":{"raddr":"172.29.12.68:0","mhdr":"BHb2","name":"NODO-02"}},"dst":{"mode":"client","raddr":"172.19.207.40:42009","mhdr":"BHb2","name":"Vpay (VPAY - BASE24) Out"},"plugin": {"file":"slb_plugin_rm_biciso.so","type":"RM"}}}},</v>
      </c>
    </row>
    <row r="237" spans="1:18" ht="15" thickBot="1">
      <c r="A237" s="47">
        <v>12</v>
      </c>
      <c r="B237" s="23" t="s">
        <v>461</v>
      </c>
      <c r="C237" s="10" t="s">
        <v>497</v>
      </c>
      <c r="D237" s="29">
        <v>1</v>
      </c>
      <c r="E237" s="29" t="s">
        <v>299</v>
      </c>
      <c r="F237" s="29" t="s">
        <v>8</v>
      </c>
      <c r="G237" s="29" t="s">
        <v>162</v>
      </c>
      <c r="H237" s="29" t="s">
        <v>55</v>
      </c>
      <c r="I237" s="29"/>
      <c r="J237" s="29">
        <v>3539</v>
      </c>
      <c r="K237" s="32" t="s">
        <v>55</v>
      </c>
      <c r="L237" s="32" t="str">
        <f t="shared" si="17"/>
        <v>172.29.12.69</v>
      </c>
      <c r="M237" s="32">
        <v>30560</v>
      </c>
      <c r="N237" s="32" t="str">
        <f t="shared" si="18"/>
        <v>172.29.12.68</v>
      </c>
      <c r="O237" s="32">
        <f t="shared" si="19"/>
        <v>40560</v>
      </c>
      <c r="P237" s="32" t="s">
        <v>94</v>
      </c>
      <c r="Q237" s="49" t="s">
        <v>95</v>
      </c>
      <c r="R237" s="3" t="str">
        <f t="shared" si="20"/>
        <v>"12":{"rules":{"1":{"type":"con","src":{"30560":{"raddr":"172.29.12.69:0","mhdr":"BHb2","name":"NODO-01"},"40560":{"raddr":"172.29.12.68:0","mhdr":"BHb2","name":"NODO-02"}},"dst":{"mode":"server","raddr":"172.27.1.82:0","lport":"3539 BHb2","name":"Pago Automático In 1"},"plugin": {"file":"slb_plugin_rm_biciso.so","type":"RM"}},</v>
      </c>
    </row>
    <row r="238" spans="1:18" ht="15" thickBot="1">
      <c r="A238" s="47"/>
      <c r="B238" s="23" t="s">
        <v>460</v>
      </c>
      <c r="C238" s="10" t="s">
        <v>497</v>
      </c>
      <c r="D238" s="29">
        <v>2</v>
      </c>
      <c r="E238" s="29"/>
      <c r="F238" s="29" t="s">
        <v>8</v>
      </c>
      <c r="G238" s="29" t="s">
        <v>162</v>
      </c>
      <c r="H238" s="29" t="s">
        <v>55</v>
      </c>
      <c r="I238" s="29"/>
      <c r="J238" s="29">
        <v>3139</v>
      </c>
      <c r="K238" s="32" t="s">
        <v>55</v>
      </c>
      <c r="L238" s="32" t="str">
        <f t="shared" si="17"/>
        <v>172.29.12.69</v>
      </c>
      <c r="M238" s="32">
        <f>J238+30000</f>
        <v>33139</v>
      </c>
      <c r="N238" s="32" t="str">
        <f t="shared" si="18"/>
        <v>172.29.12.68</v>
      </c>
      <c r="O238" s="32">
        <f>+M238+10000</f>
        <v>43139</v>
      </c>
      <c r="P238" s="32" t="s">
        <v>94</v>
      </c>
      <c r="Q238" s="49" t="s">
        <v>95</v>
      </c>
      <c r="R238" s="3" t="str">
        <f>CONCATENATE(IF(A238&lt;&gt;"",CONCATENATE("""",A238,"""",":{","""","rules","""",":{"),""),"""",D238,""":{""type"":""con"",""src"":{""",M238,""":{""raddr"":""",L238,":0"",""mhdr"":""",K238,""",","""name""",":","""NODO-01","""},""",O238,""":{""raddr"":""",N238,":0"",""mhdr"":""",K238,""",","""name""",":","""NODO-02","""}},","""dst"":{""mode"":""",F238,""",""raddr"":""",IF(F238="server",G238,I238),":",IF(F238="server",0,J238),""",""",IF(F238="server","lport","mhdr"),""":""",IF(F238="server",J238,""),IF(F238="server"," ",""),K238,""",","""name""",":","""",B238,IF(P238&lt;&gt;"",CONCATENATE("""},","""plugin""",": {","""file""",":""",P238,""",","""type""",":","""","RM",""""),""""),Q238)</f>
        <v>"2":{"type":"con","src":{"33139":{"raddr":"172.29.12.69:0","mhdr":"BHb2","name":"NODO-01"},"43139":{"raddr":"172.29.12.68:0","mhdr":"BHb2","name":"NODO-02"}},"dst":{"mode":"server","raddr":"172.27.1.82:0","lport":"3139 BHb2","name":"Pago Automático In 2"},"plugin": {"file":"slb_plugin_rm_biciso.so","type":"RM"}},</v>
      </c>
    </row>
    <row r="239" spans="1:18">
      <c r="A239" s="47"/>
      <c r="B239" s="23" t="s">
        <v>1412</v>
      </c>
      <c r="C239" s="10" t="s">
        <v>497</v>
      </c>
      <c r="D239" s="29">
        <v>3</v>
      </c>
      <c r="E239" s="29"/>
      <c r="F239" s="29" t="s">
        <v>8</v>
      </c>
      <c r="G239" s="29" t="s">
        <v>162</v>
      </c>
      <c r="H239" s="29" t="s">
        <v>55</v>
      </c>
      <c r="I239" s="29"/>
      <c r="J239" s="29">
        <v>3239</v>
      </c>
      <c r="K239" s="32" t="s">
        <v>55</v>
      </c>
      <c r="L239" s="32" t="str">
        <f t="shared" si="17"/>
        <v>172.29.12.69</v>
      </c>
      <c r="M239" s="32">
        <f>J239+30000</f>
        <v>33239</v>
      </c>
      <c r="N239" s="32" t="str">
        <f t="shared" si="18"/>
        <v>172.29.12.68</v>
      </c>
      <c r="O239" s="32">
        <f>+M239+10000</f>
        <v>43239</v>
      </c>
      <c r="P239" s="32" t="s">
        <v>94</v>
      </c>
      <c r="Q239" s="49" t="s">
        <v>95</v>
      </c>
      <c r="R239" s="3" t="str">
        <f>CONCATENATE(IF(A239&lt;&gt;"",CONCATENATE("""",A239,"""",":{","""","rules","""",":{"),""),"""",D239,""":{""type"":""con"",""src"":{""",M239,""":{""raddr"":""",L239,":0"",""mhdr"":""",K239,""",","""name""",":","""NODO-01","""},""",O239,""":{""raddr"":""",N239,":0"",""mhdr"":""",K239,""",","""name""",":","""NODO-02","""}},","""dst"":{""mode"":""",F239,""",""raddr"":""",IF(F239="server",G239,I239),":",IF(F239="server",0,J239),""",""",IF(F239="server","lport","mhdr"),""":""",IF(F239="server",J239,""),IF(F239="server"," ",""),K239,""",","""name""",":","""",B239,IF(P239&lt;&gt;"",CONCATENATE("""},","""plugin""",": {","""file""",":""",P239,""",","""type""",":","""","RM",""""),""""),Q239)</f>
        <v>"3":{"type":"con","src":{"33239":{"raddr":"172.29.12.69:0","mhdr":"BHb2","name":"NODO-01"},"43239":{"raddr":"172.29.12.68:0","mhdr":"BHb2","name":"NODO-02"}},"dst":{"mode":"server","raddr":"172.27.1.82:0","lport":"3239 BHb2","name":"Pago Automático In 3"},"plugin": {"file":"slb_plugin_rm_biciso.so","type":"RM"}},</v>
      </c>
    </row>
    <row r="240" spans="1:18" ht="15" thickBot="1">
      <c r="A240" s="40"/>
      <c r="B240" s="16" t="s">
        <v>245</v>
      </c>
      <c r="C240" s="14" t="s">
        <v>497</v>
      </c>
      <c r="D240" s="17">
        <v>4</v>
      </c>
      <c r="E240" s="17" t="s">
        <v>300</v>
      </c>
      <c r="F240" s="17" t="s">
        <v>14</v>
      </c>
      <c r="G240" s="17"/>
      <c r="H240" s="17" t="s">
        <v>55</v>
      </c>
      <c r="I240" s="17" t="s">
        <v>13</v>
      </c>
      <c r="J240" s="17">
        <v>3539</v>
      </c>
      <c r="K240" s="35" t="s">
        <v>55</v>
      </c>
      <c r="L240" s="35" t="str">
        <f t="shared" si="17"/>
        <v>172.29.12.69</v>
      </c>
      <c r="M240" s="35">
        <v>30570</v>
      </c>
      <c r="N240" s="35" t="str">
        <f t="shared" si="18"/>
        <v>172.29.12.68</v>
      </c>
      <c r="O240" s="35">
        <f t="shared" si="19"/>
        <v>40570</v>
      </c>
      <c r="P240" s="35" t="s">
        <v>94</v>
      </c>
      <c r="Q240" s="36" t="s">
        <v>95</v>
      </c>
      <c r="R240" s="3" t="str">
        <f t="shared" si="20"/>
        <v>"4":{"type":"con","src":{"30570":{"raddr":"172.29.12.69:0","mhdr":"BHb2","name":"NODO-01"},"40570":{"raddr":"172.29.12.68:0","mhdr":"BHb2","name":"NODO-02"}},"dst":{"mode":"client","raddr":"172.19.207.40:3539","mhdr":"BHb2","name":"PA (PA - BASE24) Out 1"},"plugin": {"file":"slb_plugin_rm_biciso.so","type":"RM"}},</v>
      </c>
    </row>
    <row r="241" spans="1:18" ht="15" thickBot="1">
      <c r="A241" s="40"/>
      <c r="B241" s="16" t="s">
        <v>246</v>
      </c>
      <c r="C241" s="14" t="s">
        <v>497</v>
      </c>
      <c r="D241" s="17">
        <v>5</v>
      </c>
      <c r="E241" s="17"/>
      <c r="F241" s="17" t="s">
        <v>14</v>
      </c>
      <c r="G241" s="17"/>
      <c r="H241" s="17" t="s">
        <v>55</v>
      </c>
      <c r="I241" s="17" t="s">
        <v>13</v>
      </c>
      <c r="J241" s="17">
        <v>3139</v>
      </c>
      <c r="K241" s="35" t="s">
        <v>55</v>
      </c>
      <c r="L241" s="35" t="str">
        <f t="shared" si="17"/>
        <v>172.29.12.69</v>
      </c>
      <c r="M241" s="35">
        <f>J241+50000</f>
        <v>53139</v>
      </c>
      <c r="N241" s="35" t="str">
        <f t="shared" si="18"/>
        <v>172.29.12.68</v>
      </c>
      <c r="O241" s="35">
        <f>+M241-30000</f>
        <v>23139</v>
      </c>
      <c r="P241" s="35" t="s">
        <v>94</v>
      </c>
      <c r="Q241" s="36" t="s">
        <v>95</v>
      </c>
      <c r="R241" s="3" t="str">
        <f t="shared" ref="R241" si="32">CONCATENATE(IF(A241&lt;&gt;"",CONCATENATE("""",A241,"""",":{","""","rules","""",":{"),""),"""",D241,""":{""type"":""con"",""src"":{""",M241,""":{""raddr"":""",L241,":0"",""mhdr"":""",K241,""",","""name""",":","""NODO-01","""},""",O241,""":{""raddr"":""",N241,":0"",""mhdr"":""",K241,""",","""name""",":","""NODO-02","""}},","""dst"":{""mode"":""",F241,""",""raddr"":""",IF(F241="server",G241,I241),":",IF(F241="server",0,J241),""",""",IF(F241="server","lport","mhdr"),""":""",IF(F241="server",J241,""),IF(F241="server"," ",""),K241,""",","""name""",":","""",B241,IF(P241&lt;&gt;"",CONCATENATE("""},","""plugin""",": {","""file""",":""",P241,""",","""type""",":","""","RM",""""),""""),Q241)</f>
        <v>"5":{"type":"con","src":{"53139":{"raddr":"172.29.12.69:0","mhdr":"BHb2","name":"NODO-01"},"23139":{"raddr":"172.29.12.68:0","mhdr":"BHb2","name":"NODO-02"}},"dst":{"mode":"client","raddr":"172.19.207.40:3139","mhdr":"BHb2","name":"PA (PA - BASE24) Out 2"},"plugin": {"file":"slb_plugin_rm_biciso.so","type":"RM"}},</v>
      </c>
    </row>
    <row r="242" spans="1:18" ht="15" thickBot="1">
      <c r="A242" s="40"/>
      <c r="B242" s="16" t="s">
        <v>1413</v>
      </c>
      <c r="C242" s="14" t="s">
        <v>497</v>
      </c>
      <c r="D242" s="17">
        <v>6</v>
      </c>
      <c r="E242" s="17"/>
      <c r="F242" s="17" t="s">
        <v>14</v>
      </c>
      <c r="G242" s="17"/>
      <c r="H242" s="17" t="s">
        <v>55</v>
      </c>
      <c r="I242" s="17" t="s">
        <v>13</v>
      </c>
      <c r="J242" s="17">
        <v>3239</v>
      </c>
      <c r="K242" s="35" t="s">
        <v>55</v>
      </c>
      <c r="L242" s="35" t="str">
        <f t="shared" si="17"/>
        <v>172.29.12.69</v>
      </c>
      <c r="M242" s="35">
        <f>J242+50000</f>
        <v>53239</v>
      </c>
      <c r="N242" s="35" t="str">
        <f t="shared" si="18"/>
        <v>172.29.12.68</v>
      </c>
      <c r="O242" s="35">
        <f>+M242-30000</f>
        <v>23239</v>
      </c>
      <c r="P242" s="35" t="s">
        <v>94</v>
      </c>
      <c r="Q242" s="36" t="s">
        <v>96</v>
      </c>
      <c r="R242" s="3" t="str">
        <f t="shared" ref="R242" si="33">CONCATENATE(IF(A242&lt;&gt;"",CONCATENATE("""",A242,"""",":{","""","rules","""",":{"),""),"""",D242,""":{""type"":""con"",""src"":{""",M242,""":{""raddr"":""",L242,":0"",""mhdr"":""",K242,""",","""name""",":","""NODO-01","""},""",O242,""":{""raddr"":""",N242,":0"",""mhdr"":""",K242,""",","""name""",":","""NODO-02","""}},","""dst"":{""mode"":""",F242,""",""raddr"":""",IF(F242="server",G242,I242),":",IF(F242="server",0,J242),""",""",IF(F242="server","lport","mhdr"),""":""",IF(F242="server",J242,""),IF(F242="server"," ",""),K242,""",","""name""",":","""",B242,IF(P242&lt;&gt;"",CONCATENATE("""},","""plugin""",": {","""file""",":""",P242,""",","""type""",":","""","RM",""""),""""),Q242)</f>
        <v>"6":{"type":"con","src":{"53239":{"raddr":"172.29.12.69:0","mhdr":"BHb2","name":"NODO-01"},"23239":{"raddr":"172.29.12.68:0","mhdr":"BHb2","name":"NODO-02"}},"dst":{"mode":"client","raddr":"172.19.207.40:3239","mhdr":"BHb2","name":"PA (PA - BASE24) Out 3"},"plugin": {"file":"slb_plugin_rm_biciso.so","type":"RM"}}}},</v>
      </c>
    </row>
    <row r="243" spans="1:18">
      <c r="A243" s="47">
        <v>13</v>
      </c>
      <c r="B243" s="23" t="s">
        <v>234</v>
      </c>
      <c r="C243" s="10" t="s">
        <v>497</v>
      </c>
      <c r="D243" s="29">
        <v>1</v>
      </c>
      <c r="E243" s="29" t="s">
        <v>301</v>
      </c>
      <c r="F243" s="29" t="s">
        <v>14</v>
      </c>
      <c r="G243" s="29"/>
      <c r="H243" s="29" t="s">
        <v>437</v>
      </c>
      <c r="I243" s="29" t="s">
        <v>163</v>
      </c>
      <c r="J243" s="29">
        <v>778</v>
      </c>
      <c r="K243" s="32" t="s">
        <v>437</v>
      </c>
      <c r="L243" s="32" t="str">
        <f t="shared" si="17"/>
        <v>172.29.12.69</v>
      </c>
      <c r="M243" s="32">
        <v>37780</v>
      </c>
      <c r="N243" s="32" t="str">
        <f t="shared" si="18"/>
        <v>172.29.12.68</v>
      </c>
      <c r="O243" s="32">
        <f t="shared" si="19"/>
        <v>47780</v>
      </c>
      <c r="P243" s="32" t="s">
        <v>94</v>
      </c>
      <c r="Q243" s="49" t="s">
        <v>95</v>
      </c>
      <c r="R243" s="3" t="str">
        <f t="shared" si="20"/>
        <v>"13":{"rules":{"1":{"type":"con","src":{"37780":{"raddr":"172.29.12.69:0","mhdr":"iBHb2","name":"NODO-01"},"47780":{"raddr":"172.29.12.68:0","mhdr":"iBHb2","name":"NODO-02"}},"dst":{"mode":"client","raddr":"172.19.207.84:778","mhdr":"iBHb2","name":"HPDH (POS - BASE24) Out 1"},"plugin": {"file":"slb_plugin_rm_biciso.so","type":"RM"}},</v>
      </c>
    </row>
    <row r="244" spans="1:18" ht="15" thickBot="1">
      <c r="A244" s="40"/>
      <c r="B244" s="16" t="s">
        <v>235</v>
      </c>
      <c r="C244" s="14" t="s">
        <v>497</v>
      </c>
      <c r="D244" s="17">
        <v>2</v>
      </c>
      <c r="E244" s="17" t="s">
        <v>302</v>
      </c>
      <c r="F244" s="17" t="s">
        <v>14</v>
      </c>
      <c r="G244" s="17"/>
      <c r="H244" s="17" t="s">
        <v>437</v>
      </c>
      <c r="I244" s="17" t="s">
        <v>13</v>
      </c>
      <c r="J244" s="17">
        <v>781</v>
      </c>
      <c r="K244" s="35" t="s">
        <v>437</v>
      </c>
      <c r="L244" s="35" t="str">
        <f t="shared" si="17"/>
        <v>172.29.12.69</v>
      </c>
      <c r="M244" s="35">
        <v>37781</v>
      </c>
      <c r="N244" s="35" t="str">
        <f t="shared" si="18"/>
        <v>172.29.12.68</v>
      </c>
      <c r="O244" s="35">
        <f t="shared" si="19"/>
        <v>47781</v>
      </c>
      <c r="P244" s="35" t="s">
        <v>94</v>
      </c>
      <c r="Q244" s="36" t="s">
        <v>96</v>
      </c>
      <c r="R244" s="3" t="str">
        <f t="shared" si="20"/>
        <v>"2":{"type":"con","src":{"37781":{"raddr":"172.29.12.69:0","mhdr":"iBHb2","name":"NODO-01"},"47781":{"raddr":"172.29.12.68:0","mhdr":"iBHb2","name":"NODO-02"}},"dst":{"mode":"client","raddr":"172.19.207.40:781","mhdr":"iBHb2","name":"HPDH (POS - BASE24) Out 2"},"plugin": {"file":"slb_plugin_rm_biciso.so","type":"RM"}}}},</v>
      </c>
    </row>
    <row r="245" spans="1:18">
      <c r="A245" s="47">
        <v>14</v>
      </c>
      <c r="B245" s="23" t="s">
        <v>164</v>
      </c>
      <c r="C245" s="10" t="s">
        <v>497</v>
      </c>
      <c r="D245" s="29">
        <v>1</v>
      </c>
      <c r="E245" s="29" t="s">
        <v>303</v>
      </c>
      <c r="F245" s="29" t="s">
        <v>14</v>
      </c>
      <c r="G245" s="29"/>
      <c r="H245" s="29" t="s">
        <v>55</v>
      </c>
      <c r="I245" s="29" t="s">
        <v>13</v>
      </c>
      <c r="J245" s="29">
        <v>2190</v>
      </c>
      <c r="K245" s="32" t="s">
        <v>55</v>
      </c>
      <c r="L245" s="32" t="str">
        <f t="shared" si="17"/>
        <v>172.29.12.69</v>
      </c>
      <c r="M245" s="32">
        <v>30700</v>
      </c>
      <c r="N245" s="32" t="str">
        <f t="shared" si="18"/>
        <v>172.29.12.68</v>
      </c>
      <c r="O245" s="32">
        <f t="shared" si="19"/>
        <v>40700</v>
      </c>
      <c r="P245" s="32" t="s">
        <v>94</v>
      </c>
      <c r="Q245" s="49" t="s">
        <v>95</v>
      </c>
      <c r="R245" s="3" t="str">
        <f t="shared" si="20"/>
        <v>"14":{"rules":{"1":{"type":"con","src":{"30700":{"raddr":"172.29.12.69:0","mhdr":"BHb2","name":"NODO-01"},"40700":{"raddr":"172.29.12.68:0","mhdr":"BHb2","name":"NODO-02"}},"dst":{"mode":"client","raddr":"172.19.207.40:2190","mhdr":"BHb2","name":"Red ATM Colpatria out 1"},"plugin": {"file":"slb_plugin_rm_biciso.so","type":"RM"}},</v>
      </c>
    </row>
    <row r="246" spans="1:18">
      <c r="A246" s="30"/>
      <c r="B246" s="7" t="s">
        <v>165</v>
      </c>
      <c r="C246" s="2" t="s">
        <v>497</v>
      </c>
      <c r="D246" s="8">
        <v>2</v>
      </c>
      <c r="E246" s="8" t="s">
        <v>296</v>
      </c>
      <c r="F246" s="8" t="s">
        <v>8</v>
      </c>
      <c r="G246" s="8" t="s">
        <v>168</v>
      </c>
      <c r="H246" s="8" t="s">
        <v>55</v>
      </c>
      <c r="I246" s="2"/>
      <c r="J246" s="8">
        <v>2190</v>
      </c>
      <c r="K246" s="33" t="s">
        <v>55</v>
      </c>
      <c r="L246" s="33" t="str">
        <f t="shared" si="17"/>
        <v>172.29.12.69</v>
      </c>
      <c r="M246" s="33">
        <v>30710</v>
      </c>
      <c r="N246" s="33" t="str">
        <f t="shared" si="18"/>
        <v>172.29.12.68</v>
      </c>
      <c r="O246" s="33">
        <f t="shared" si="19"/>
        <v>40710</v>
      </c>
      <c r="P246" s="33" t="s">
        <v>94</v>
      </c>
      <c r="Q246" s="34" t="s">
        <v>95</v>
      </c>
      <c r="R246" s="3" t="str">
        <f t="shared" si="20"/>
        <v>"2":{"type":"con","src":{"30710":{"raddr":"172.29.12.69:0","mhdr":"BHb2","name":"NODO-01"},"40710":{"raddr":"172.29.12.68:0","mhdr":"BHb2","name":"NODO-02"}},"dst":{"mode":"server","raddr":"10.2.19.18:0","lport":"2190 BHb2","name":"Red ATM Colpatria in 1"},"plugin": {"file":"slb_plugin_rm_biciso.so","type":"RM"}},</v>
      </c>
    </row>
    <row r="247" spans="1:18">
      <c r="A247" s="30"/>
      <c r="B247" s="7" t="s">
        <v>166</v>
      </c>
      <c r="C247" s="2" t="s">
        <v>497</v>
      </c>
      <c r="D247" s="8">
        <v>3</v>
      </c>
      <c r="E247" s="8" t="s">
        <v>298</v>
      </c>
      <c r="F247" s="8" t="s">
        <v>14</v>
      </c>
      <c r="G247" s="8"/>
      <c r="H247" s="8" t="s">
        <v>55</v>
      </c>
      <c r="I247" s="8" t="s">
        <v>13</v>
      </c>
      <c r="J247" s="8">
        <v>3190</v>
      </c>
      <c r="K247" s="33" t="s">
        <v>55</v>
      </c>
      <c r="L247" s="33" t="str">
        <f t="shared" si="17"/>
        <v>172.29.12.69</v>
      </c>
      <c r="M247" s="33">
        <v>30720</v>
      </c>
      <c r="N247" s="33" t="str">
        <f t="shared" si="18"/>
        <v>172.29.12.68</v>
      </c>
      <c r="O247" s="33">
        <f t="shared" si="19"/>
        <v>40720</v>
      </c>
      <c r="P247" s="33" t="s">
        <v>94</v>
      </c>
      <c r="Q247" s="34" t="s">
        <v>95</v>
      </c>
      <c r="R247" s="3" t="str">
        <f t="shared" si="20"/>
        <v>"3":{"type":"con","src":{"30720":{"raddr":"172.29.12.69:0","mhdr":"BHb2","name":"NODO-01"},"40720":{"raddr":"172.29.12.68:0","mhdr":"BHb2","name":"NODO-02"}},"dst":{"mode":"client","raddr":"172.19.207.40:3190","mhdr":"BHb2","name":"Red ATM Colpatria out 2"},"plugin": {"file":"slb_plugin_rm_biciso.so","type":"RM"}},</v>
      </c>
    </row>
    <row r="248" spans="1:18" ht="15" thickBot="1">
      <c r="A248" s="40"/>
      <c r="B248" s="16" t="s">
        <v>167</v>
      </c>
      <c r="C248" s="14" t="s">
        <v>497</v>
      </c>
      <c r="D248" s="17">
        <v>4</v>
      </c>
      <c r="E248" s="17" t="s">
        <v>304</v>
      </c>
      <c r="F248" s="17" t="s">
        <v>8</v>
      </c>
      <c r="G248" s="17" t="s">
        <v>168</v>
      </c>
      <c r="H248" s="17" t="s">
        <v>55</v>
      </c>
      <c r="I248" s="14"/>
      <c r="J248" s="17">
        <v>3190</v>
      </c>
      <c r="K248" s="35" t="s">
        <v>55</v>
      </c>
      <c r="L248" s="35" t="str">
        <f t="shared" si="17"/>
        <v>172.29.12.69</v>
      </c>
      <c r="M248" s="35">
        <v>30730</v>
      </c>
      <c r="N248" s="35" t="str">
        <f t="shared" si="18"/>
        <v>172.29.12.68</v>
      </c>
      <c r="O248" s="35">
        <f t="shared" si="19"/>
        <v>40730</v>
      </c>
      <c r="P248" s="35" t="s">
        <v>94</v>
      </c>
      <c r="Q248" s="36" t="s">
        <v>96</v>
      </c>
      <c r="R248" s="3" t="str">
        <f t="shared" si="20"/>
        <v>"4":{"type":"con","src":{"30730":{"raddr":"172.29.12.69:0","mhdr":"BHb2","name":"NODO-01"},"40730":{"raddr":"172.29.12.68:0","mhdr":"BHb2","name":"NODO-02"}},"dst":{"mode":"server","raddr":"10.2.19.18:0","lport":"3190 BHb2","name":"Red ATM Colpatria in 2"},"plugin": {"file":"slb_plugin_rm_biciso.so","type":"RM"}}}},</v>
      </c>
    </row>
    <row r="249" spans="1:18">
      <c r="A249" s="47">
        <v>15</v>
      </c>
      <c r="B249" s="23" t="s">
        <v>169</v>
      </c>
      <c r="C249" s="10" t="s">
        <v>497</v>
      </c>
      <c r="D249" s="29">
        <v>1</v>
      </c>
      <c r="E249" s="29" t="s">
        <v>307</v>
      </c>
      <c r="F249" s="29" t="s">
        <v>14</v>
      </c>
      <c r="G249" s="29"/>
      <c r="H249" s="29" t="s">
        <v>437</v>
      </c>
      <c r="I249" s="29" t="s">
        <v>13</v>
      </c>
      <c r="J249" s="29">
        <v>2203</v>
      </c>
      <c r="K249" s="32" t="s">
        <v>437</v>
      </c>
      <c r="L249" s="32" t="str">
        <f t="shared" si="17"/>
        <v>172.29.12.69</v>
      </c>
      <c r="M249" s="32">
        <v>52203</v>
      </c>
      <c r="N249" s="32" t="str">
        <f t="shared" si="18"/>
        <v>172.29.12.68</v>
      </c>
      <c r="O249" s="32">
        <f>+M249-30000</f>
        <v>22203</v>
      </c>
      <c r="P249" s="32" t="s">
        <v>94</v>
      </c>
      <c r="Q249" s="49" t="s">
        <v>95</v>
      </c>
      <c r="R249" s="3" t="str">
        <f t="shared" si="20"/>
        <v>"15":{"rules":{"1":{"type":"con","src":{"52203":{"raddr":"172.29.12.69:0","mhdr":"iBHb2","name":"NODO-01"},"22203":{"raddr":"172.29.12.68:0","mhdr":"iBHb2","name":"NODO-02"}},"dst":{"mode":"client","raddr":"172.19.207.40:2203","mhdr":"iBHb2","name":"Red ATM Bancolo out 1"},"plugin": {"file":"slb_plugin_rm_biciso.so","type":"RM"}},</v>
      </c>
    </row>
    <row r="250" spans="1:18">
      <c r="A250" s="30"/>
      <c r="B250" s="7" t="s">
        <v>170</v>
      </c>
      <c r="C250" s="2" t="s">
        <v>497</v>
      </c>
      <c r="D250" s="8">
        <v>2</v>
      </c>
      <c r="E250" s="8" t="s">
        <v>308</v>
      </c>
      <c r="F250" s="8" t="s">
        <v>8</v>
      </c>
      <c r="G250" s="8" t="s">
        <v>125</v>
      </c>
      <c r="H250" s="8" t="s">
        <v>437</v>
      </c>
      <c r="I250" s="2"/>
      <c r="J250" s="8">
        <v>2203</v>
      </c>
      <c r="K250" s="33" t="s">
        <v>437</v>
      </c>
      <c r="L250" s="33" t="str">
        <f t="shared" si="17"/>
        <v>172.29.12.69</v>
      </c>
      <c r="M250" s="33">
        <v>32203</v>
      </c>
      <c r="N250" s="33" t="str">
        <f t="shared" si="18"/>
        <v>172.29.12.68</v>
      </c>
      <c r="O250" s="33">
        <f t="shared" ref="O250:O254" si="34">+M250+10000</f>
        <v>42203</v>
      </c>
      <c r="P250" s="33" t="s">
        <v>94</v>
      </c>
      <c r="Q250" s="34" t="s">
        <v>95</v>
      </c>
      <c r="R250" s="3" t="str">
        <f t="shared" si="20"/>
        <v>"2":{"type":"con","src":{"32203":{"raddr":"172.29.12.69:0","mhdr":"iBHb2","name":"NODO-01"},"42203":{"raddr":"172.29.12.68:0","mhdr":"iBHb2","name":"NODO-02"}},"dst":{"mode":"server","raddr":"10.2.3.132:0","lport":"2203 iBHb2","name":"Red ATM Bancolo in 1"},"plugin": {"file":"slb_plugin_rm_biciso.so","type":"RM"}},</v>
      </c>
    </row>
    <row r="251" spans="1:18">
      <c r="A251" s="30"/>
      <c r="B251" s="7" t="s">
        <v>171</v>
      </c>
      <c r="C251" s="2" t="s">
        <v>497</v>
      </c>
      <c r="D251" s="8">
        <v>3</v>
      </c>
      <c r="E251" s="8" t="s">
        <v>309</v>
      </c>
      <c r="F251" s="8" t="s">
        <v>14</v>
      </c>
      <c r="G251" s="8"/>
      <c r="H251" s="8" t="s">
        <v>437</v>
      </c>
      <c r="I251" s="8" t="s">
        <v>13</v>
      </c>
      <c r="J251" s="8">
        <v>2303</v>
      </c>
      <c r="K251" s="33" t="s">
        <v>437</v>
      </c>
      <c r="L251" s="33" t="str">
        <f t="shared" si="17"/>
        <v>172.29.12.69</v>
      </c>
      <c r="M251" s="33">
        <v>52303</v>
      </c>
      <c r="N251" s="33" t="str">
        <f t="shared" si="18"/>
        <v>172.29.12.68</v>
      </c>
      <c r="O251" s="33">
        <f>+M251-30000</f>
        <v>22303</v>
      </c>
      <c r="P251" s="33" t="s">
        <v>94</v>
      </c>
      <c r="Q251" s="34" t="s">
        <v>95</v>
      </c>
      <c r="R251" s="3" t="str">
        <f t="shared" si="20"/>
        <v>"3":{"type":"con","src":{"52303":{"raddr":"172.29.12.69:0","mhdr":"iBHb2","name":"NODO-01"},"22303":{"raddr":"172.29.12.68:0","mhdr":"iBHb2","name":"NODO-02"}},"dst":{"mode":"client","raddr":"172.19.207.40:2303","mhdr":"iBHb2","name":"Red ATM Bancolo out 2"},"plugin": {"file":"slb_plugin_rm_biciso.so","type":"RM"}},</v>
      </c>
    </row>
    <row r="252" spans="1:18">
      <c r="A252" s="30"/>
      <c r="B252" s="7" t="s">
        <v>172</v>
      </c>
      <c r="C252" s="2" t="s">
        <v>497</v>
      </c>
      <c r="D252" s="8">
        <v>4</v>
      </c>
      <c r="E252" s="8" t="s">
        <v>305</v>
      </c>
      <c r="F252" s="8" t="s">
        <v>8</v>
      </c>
      <c r="G252" s="8" t="s">
        <v>125</v>
      </c>
      <c r="H252" s="8" t="s">
        <v>437</v>
      </c>
      <c r="I252" s="2"/>
      <c r="J252" s="8">
        <v>2303</v>
      </c>
      <c r="K252" s="33" t="s">
        <v>437</v>
      </c>
      <c r="L252" s="33" t="str">
        <f t="shared" si="17"/>
        <v>172.29.12.69</v>
      </c>
      <c r="M252" s="33">
        <v>32303</v>
      </c>
      <c r="N252" s="33" t="str">
        <f t="shared" si="18"/>
        <v>172.29.12.68</v>
      </c>
      <c r="O252" s="33">
        <f t="shared" ref="O252" si="35">+M252+10000</f>
        <v>42303</v>
      </c>
      <c r="P252" s="33" t="s">
        <v>94</v>
      </c>
      <c r="Q252" s="34" t="s">
        <v>95</v>
      </c>
      <c r="R252" s="3" t="str">
        <f t="shared" si="20"/>
        <v>"4":{"type":"con","src":{"32303":{"raddr":"172.29.12.69:0","mhdr":"iBHb2","name":"NODO-01"},"42303":{"raddr":"172.29.12.68:0","mhdr":"iBHb2","name":"NODO-02"}},"dst":{"mode":"server","raddr":"10.2.3.132:0","lport":"2303 iBHb2","name":"Red ATM Bancolo in 2"},"plugin": {"file":"slb_plugin_rm_biciso.so","type":"RM"}},</v>
      </c>
    </row>
    <row r="253" spans="1:18">
      <c r="A253" s="30"/>
      <c r="B253" s="7" t="s">
        <v>173</v>
      </c>
      <c r="C253" s="2" t="s">
        <v>497</v>
      </c>
      <c r="D253" s="8">
        <v>5</v>
      </c>
      <c r="E253" s="8" t="s">
        <v>306</v>
      </c>
      <c r="F253" s="8" t="s">
        <v>14</v>
      </c>
      <c r="G253" s="8"/>
      <c r="H253" s="8" t="s">
        <v>437</v>
      </c>
      <c r="I253" s="8" t="s">
        <v>13</v>
      </c>
      <c r="J253" s="8">
        <v>2403</v>
      </c>
      <c r="K253" s="33" t="s">
        <v>437</v>
      </c>
      <c r="L253" s="33" t="str">
        <f t="shared" si="17"/>
        <v>172.29.12.69</v>
      </c>
      <c r="M253" s="33">
        <v>52403</v>
      </c>
      <c r="N253" s="33" t="str">
        <f t="shared" si="18"/>
        <v>172.29.12.68</v>
      </c>
      <c r="O253" s="33">
        <f>+M253-30000</f>
        <v>22403</v>
      </c>
      <c r="P253" s="33" t="s">
        <v>94</v>
      </c>
      <c r="Q253" s="34" t="s">
        <v>95</v>
      </c>
      <c r="R253" s="3" t="str">
        <f t="shared" si="20"/>
        <v>"5":{"type":"con","src":{"52403":{"raddr":"172.29.12.69:0","mhdr":"iBHb2","name":"NODO-01"},"22403":{"raddr":"172.29.12.68:0","mhdr":"iBHb2","name":"NODO-02"}},"dst":{"mode":"client","raddr":"172.19.207.40:2403","mhdr":"iBHb2","name":"Red ATM Bancolo out 3"},"plugin": {"file":"slb_plugin_rm_biciso.so","type":"RM"}},</v>
      </c>
    </row>
    <row r="254" spans="1:18" ht="15" thickBot="1">
      <c r="A254" s="40"/>
      <c r="B254" s="16" t="s">
        <v>174</v>
      </c>
      <c r="C254" s="14" t="s">
        <v>497</v>
      </c>
      <c r="D254" s="17">
        <v>6</v>
      </c>
      <c r="E254" s="17" t="s">
        <v>310</v>
      </c>
      <c r="F254" s="17" t="s">
        <v>8</v>
      </c>
      <c r="G254" s="17" t="s">
        <v>125</v>
      </c>
      <c r="H254" s="17" t="s">
        <v>437</v>
      </c>
      <c r="I254" s="14"/>
      <c r="J254" s="17">
        <v>2403</v>
      </c>
      <c r="K254" s="35" t="s">
        <v>437</v>
      </c>
      <c r="L254" s="35" t="str">
        <f t="shared" si="17"/>
        <v>172.29.12.69</v>
      </c>
      <c r="M254" s="35">
        <v>32403</v>
      </c>
      <c r="N254" s="35" t="str">
        <f t="shared" si="18"/>
        <v>172.29.12.68</v>
      </c>
      <c r="O254" s="35">
        <f t="shared" si="34"/>
        <v>42403</v>
      </c>
      <c r="P254" s="35" t="s">
        <v>94</v>
      </c>
      <c r="Q254" s="36" t="s">
        <v>96</v>
      </c>
      <c r="R254" s="3" t="str">
        <f t="shared" si="20"/>
        <v>"6":{"type":"con","src":{"32403":{"raddr":"172.29.12.69:0","mhdr":"iBHb2","name":"NODO-01"},"42403":{"raddr":"172.29.12.68:0","mhdr":"iBHb2","name":"NODO-02"}},"dst":{"mode":"server","raddr":"10.2.3.132:0","lport":"2403 iBHb2","name":"Red ATM Bancolo in 3"},"plugin": {"file":"slb_plugin_rm_biciso.so","type":"RM"}}}},</v>
      </c>
    </row>
    <row r="255" spans="1:18">
      <c r="A255" s="47">
        <v>16</v>
      </c>
      <c r="B255" s="23" t="s">
        <v>175</v>
      </c>
      <c r="C255" s="10" t="s">
        <v>497</v>
      </c>
      <c r="D255" s="29">
        <v>1</v>
      </c>
      <c r="E255" s="29" t="s">
        <v>311</v>
      </c>
      <c r="F255" s="29" t="s">
        <v>14</v>
      </c>
      <c r="G255" s="29"/>
      <c r="H255" s="29" t="s">
        <v>437</v>
      </c>
      <c r="I255" s="29" t="s">
        <v>13</v>
      </c>
      <c r="J255" s="29">
        <v>3207</v>
      </c>
      <c r="K255" s="32" t="s">
        <v>437</v>
      </c>
      <c r="L255" s="32" t="str">
        <f t="shared" si="17"/>
        <v>172.29.12.69</v>
      </c>
      <c r="M255" s="32">
        <v>53207</v>
      </c>
      <c r="N255" s="32" t="str">
        <f t="shared" si="18"/>
        <v>172.29.12.68</v>
      </c>
      <c r="O255" s="32">
        <f>+M255-30000</f>
        <v>23207</v>
      </c>
      <c r="P255" s="32" t="s">
        <v>136</v>
      </c>
      <c r="Q255" s="49" t="s">
        <v>95</v>
      </c>
      <c r="R255" s="3" t="str">
        <f t="shared" si="20"/>
        <v>"16":{"rules":{"1":{"type":"con","src":{"53207":{"raddr":"172.29.12.69:0","mhdr":"iBHb2","name":"NODO-01"},"23207":{"raddr":"172.29.12.68:0","mhdr":"iBHb2","name":"NODO-02"}},"dst":{"mode":"client","raddr":"172.19.207.40:3207","mhdr":"iBHb2","name":"Red ATM AMXcolo out 1"},"plugin": {"file":"slb_plugin_rm_amex.so","type":"RM"}},</v>
      </c>
    </row>
    <row r="256" spans="1:18">
      <c r="A256" s="30"/>
      <c r="B256" s="7" t="s">
        <v>176</v>
      </c>
      <c r="C256" s="2" t="s">
        <v>497</v>
      </c>
      <c r="D256" s="8">
        <v>2</v>
      </c>
      <c r="E256" s="8" t="s">
        <v>312</v>
      </c>
      <c r="F256" s="8" t="s">
        <v>8</v>
      </c>
      <c r="G256" s="8" t="s">
        <v>125</v>
      </c>
      <c r="H256" s="8" t="s">
        <v>437</v>
      </c>
      <c r="I256" s="2"/>
      <c r="J256" s="8">
        <v>3207</v>
      </c>
      <c r="K256" s="33" t="s">
        <v>437</v>
      </c>
      <c r="L256" s="33" t="str">
        <f t="shared" ref="L256:L284" si="36">+$B$174</f>
        <v>172.29.12.69</v>
      </c>
      <c r="M256" s="33">
        <v>33207</v>
      </c>
      <c r="N256" s="33" t="str">
        <f t="shared" ref="N256:N283" si="37">+$B$175</f>
        <v>172.29.12.68</v>
      </c>
      <c r="O256" s="33">
        <f t="shared" ref="O256" si="38">+M256+10000</f>
        <v>43207</v>
      </c>
      <c r="P256" s="33" t="s">
        <v>136</v>
      </c>
      <c r="Q256" s="34" t="s">
        <v>95</v>
      </c>
      <c r="R256" s="3" t="str">
        <f t="shared" ref="R256:R281" si="39">CONCATENATE(IF(A256&lt;&gt;"",CONCATENATE("""",A256,"""",":{","""","rules","""",":{"),""),"""",D256,""":{""type"":""con"",""src"":{""",M256,""":{""raddr"":""",L256,":0"",""mhdr"":""",K256,""",","""name""",":","""NODO-01","""},""",O256,""":{""raddr"":""",N256,":0"",""mhdr"":""",K256,""",","""name""",":","""NODO-02","""}},","""dst"":{""mode"":""",F256,""",""raddr"":""",IF(F256="server",G256,I256),":",IF(F256="server",0,J256),""",""",IF(F256="server","lport","mhdr"),""":""",IF(F256="server",J256,""),IF(F256="server"," ",""),K256,""",","""name""",":","""",B256,IF(P256&lt;&gt;"",CONCATENATE("""},","""plugin""",": {","""file""",":""",P256,""",","""type""",":","""","RM",""""),""""),Q256)</f>
        <v>"2":{"type":"con","src":{"33207":{"raddr":"172.29.12.69:0","mhdr":"iBHb2","name":"NODO-01"},"43207":{"raddr":"172.29.12.68:0","mhdr":"iBHb2","name":"NODO-02"}},"dst":{"mode":"server","raddr":"10.2.3.132:0","lport":"3207 iBHb2","name":"Red ATM AMXcolo in 1"},"plugin": {"file":"slb_plugin_rm_amex.so","type":"RM"}},</v>
      </c>
    </row>
    <row r="257" spans="1:18">
      <c r="A257" s="30"/>
      <c r="B257" s="7" t="s">
        <v>177</v>
      </c>
      <c r="C257" s="2" t="s">
        <v>497</v>
      </c>
      <c r="D257" s="8">
        <v>3</v>
      </c>
      <c r="E257" s="8" t="s">
        <v>313</v>
      </c>
      <c r="F257" s="8" t="s">
        <v>14</v>
      </c>
      <c r="G257" s="8"/>
      <c r="H257" s="8" t="s">
        <v>437</v>
      </c>
      <c r="I257" s="8" t="s">
        <v>13</v>
      </c>
      <c r="J257" s="8">
        <v>3407</v>
      </c>
      <c r="K257" s="33" t="s">
        <v>437</v>
      </c>
      <c r="L257" s="33" t="str">
        <f t="shared" si="36"/>
        <v>172.29.12.69</v>
      </c>
      <c r="M257" s="33">
        <v>53407</v>
      </c>
      <c r="N257" s="33" t="str">
        <f t="shared" si="37"/>
        <v>172.29.12.68</v>
      </c>
      <c r="O257" s="33">
        <f>+M257-30000</f>
        <v>23407</v>
      </c>
      <c r="P257" s="33" t="s">
        <v>136</v>
      </c>
      <c r="Q257" s="34" t="s">
        <v>95</v>
      </c>
      <c r="R257" s="3" t="str">
        <f t="shared" si="39"/>
        <v>"3":{"type":"con","src":{"53407":{"raddr":"172.29.12.69:0","mhdr":"iBHb2","name":"NODO-01"},"23407":{"raddr":"172.29.12.68:0","mhdr":"iBHb2","name":"NODO-02"}},"dst":{"mode":"client","raddr":"172.19.207.40:3407","mhdr":"iBHb2","name":"Red ATM AMXcolo out 2"},"plugin": {"file":"slb_plugin_rm_amex.so","type":"RM"}},</v>
      </c>
    </row>
    <row r="258" spans="1:18">
      <c r="A258" s="30"/>
      <c r="B258" s="7" t="s">
        <v>178</v>
      </c>
      <c r="C258" s="2" t="s">
        <v>497</v>
      </c>
      <c r="D258" s="8">
        <v>4</v>
      </c>
      <c r="E258" s="8" t="s">
        <v>314</v>
      </c>
      <c r="F258" s="8" t="s">
        <v>8</v>
      </c>
      <c r="G258" s="8" t="s">
        <v>125</v>
      </c>
      <c r="H258" s="8" t="s">
        <v>437</v>
      </c>
      <c r="I258" s="2"/>
      <c r="J258" s="8">
        <v>3407</v>
      </c>
      <c r="K258" s="33" t="s">
        <v>437</v>
      </c>
      <c r="L258" s="33" t="str">
        <f t="shared" si="36"/>
        <v>172.29.12.69</v>
      </c>
      <c r="M258" s="33">
        <v>33407</v>
      </c>
      <c r="N258" s="33" t="str">
        <f t="shared" si="37"/>
        <v>172.29.12.68</v>
      </c>
      <c r="O258" s="33">
        <f t="shared" ref="O258" si="40">+M258+10000</f>
        <v>43407</v>
      </c>
      <c r="P258" s="33" t="s">
        <v>136</v>
      </c>
      <c r="Q258" s="34" t="s">
        <v>95</v>
      </c>
      <c r="R258" s="3" t="str">
        <f t="shared" si="39"/>
        <v>"4":{"type":"con","src":{"33407":{"raddr":"172.29.12.69:0","mhdr":"iBHb2","name":"NODO-01"},"43407":{"raddr":"172.29.12.68:0","mhdr":"iBHb2","name":"NODO-02"}},"dst":{"mode":"server","raddr":"10.2.3.132:0","lport":"3407 iBHb2","name":"Red ATM AMXcolo in 2"},"plugin": {"file":"slb_plugin_rm_amex.so","type":"RM"}},</v>
      </c>
    </row>
    <row r="259" spans="1:18">
      <c r="A259" s="30"/>
      <c r="B259" s="7" t="s">
        <v>179</v>
      </c>
      <c r="C259" s="2" t="s">
        <v>497</v>
      </c>
      <c r="D259" s="8">
        <v>5</v>
      </c>
      <c r="E259" s="8" t="s">
        <v>315</v>
      </c>
      <c r="F259" s="8" t="s">
        <v>14</v>
      </c>
      <c r="G259" s="8"/>
      <c r="H259" s="8" t="s">
        <v>437</v>
      </c>
      <c r="I259" s="8" t="s">
        <v>13</v>
      </c>
      <c r="J259" s="8">
        <v>3507</v>
      </c>
      <c r="K259" s="33" t="s">
        <v>437</v>
      </c>
      <c r="L259" s="33" t="str">
        <f t="shared" si="36"/>
        <v>172.29.12.69</v>
      </c>
      <c r="M259" s="33">
        <v>53507</v>
      </c>
      <c r="N259" s="33" t="str">
        <f t="shared" si="37"/>
        <v>172.29.12.68</v>
      </c>
      <c r="O259" s="33">
        <f>+M259-30000</f>
        <v>23507</v>
      </c>
      <c r="P259" s="33" t="s">
        <v>136</v>
      </c>
      <c r="Q259" s="34" t="s">
        <v>95</v>
      </c>
      <c r="R259" s="3" t="str">
        <f t="shared" si="39"/>
        <v>"5":{"type":"con","src":{"53507":{"raddr":"172.29.12.69:0","mhdr":"iBHb2","name":"NODO-01"},"23507":{"raddr":"172.29.12.68:0","mhdr":"iBHb2","name":"NODO-02"}},"dst":{"mode":"client","raddr":"172.19.207.40:3507","mhdr":"iBHb2","name":"Red ATM AMXcolo out 3"},"plugin": {"file":"slb_plugin_rm_amex.so","type":"RM"}},</v>
      </c>
    </row>
    <row r="260" spans="1:18" ht="15" thickBot="1">
      <c r="A260" s="40"/>
      <c r="B260" s="16" t="s">
        <v>180</v>
      </c>
      <c r="C260" s="14" t="s">
        <v>497</v>
      </c>
      <c r="D260" s="17">
        <v>6</v>
      </c>
      <c r="E260" s="17" t="s">
        <v>316</v>
      </c>
      <c r="F260" s="17" t="s">
        <v>8</v>
      </c>
      <c r="G260" s="17" t="s">
        <v>125</v>
      </c>
      <c r="H260" s="17" t="s">
        <v>437</v>
      </c>
      <c r="I260" s="14"/>
      <c r="J260" s="17">
        <v>3507</v>
      </c>
      <c r="K260" s="35" t="s">
        <v>437</v>
      </c>
      <c r="L260" s="35" t="str">
        <f t="shared" si="36"/>
        <v>172.29.12.69</v>
      </c>
      <c r="M260" s="35">
        <v>33507</v>
      </c>
      <c r="N260" s="35" t="str">
        <f t="shared" si="37"/>
        <v>172.29.12.68</v>
      </c>
      <c r="O260" s="35">
        <f t="shared" ref="O260" si="41">+M260+10000</f>
        <v>43507</v>
      </c>
      <c r="P260" s="35" t="s">
        <v>136</v>
      </c>
      <c r="Q260" s="36" t="s">
        <v>96</v>
      </c>
      <c r="R260" s="3" t="str">
        <f t="shared" si="39"/>
        <v>"6":{"type":"con","src":{"33507":{"raddr":"172.29.12.69:0","mhdr":"iBHb2","name":"NODO-01"},"43507":{"raddr":"172.29.12.68:0","mhdr":"iBHb2","name":"NODO-02"}},"dst":{"mode":"server","raddr":"10.2.3.132:0","lport":"3507 iBHb2","name":"Red ATM AMXcolo in 3"},"plugin": {"file":"slb_plugin_rm_amex.so","type":"RM"}}}},</v>
      </c>
    </row>
    <row r="261" spans="1:18">
      <c r="A261" s="92">
        <v>17</v>
      </c>
      <c r="B261" s="23" t="s">
        <v>127</v>
      </c>
      <c r="C261" s="10" t="s">
        <v>496</v>
      </c>
      <c r="D261" s="29">
        <v>1</v>
      </c>
      <c r="E261" s="29" t="s">
        <v>317</v>
      </c>
      <c r="F261" s="29" t="s">
        <v>14</v>
      </c>
      <c r="G261" s="29"/>
      <c r="H261" s="29" t="s">
        <v>437</v>
      </c>
      <c r="I261" s="29" t="s">
        <v>13</v>
      </c>
      <c r="J261" s="29">
        <v>3074</v>
      </c>
      <c r="K261" s="32" t="s">
        <v>437</v>
      </c>
      <c r="L261" s="32" t="str">
        <f t="shared" si="36"/>
        <v>172.29.12.69</v>
      </c>
      <c r="M261" s="32">
        <v>53074</v>
      </c>
      <c r="N261" s="32" t="str">
        <f t="shared" si="37"/>
        <v>172.29.12.68</v>
      </c>
      <c r="O261" s="32">
        <f>+M261-30000</f>
        <v>23074</v>
      </c>
      <c r="P261" s="32" t="s">
        <v>94</v>
      </c>
      <c r="Q261" s="49" t="s">
        <v>95</v>
      </c>
      <c r="R261" s="3" t="str">
        <f t="shared" si="39"/>
        <v>"17":{"rules":{"1":{"type":"con","src":{"53074":{"raddr":"172.29.12.69:0","mhdr":"iBHb2","name":"NODO-01"},"23074":{"raddr":"172.29.12.68:0","mhdr":"iBHb2","name":"NODO-02"}},"dst":{"mode":"client","raddr":"172.19.207.40:3074","mhdr":"iBHb2","name":"Red ATM ATH out 1"},"plugin": {"file":"slb_plugin_rm_biciso.so","type":"RM"}},</v>
      </c>
    </row>
    <row r="262" spans="1:18">
      <c r="A262" s="63"/>
      <c r="B262" s="7" t="s">
        <v>77</v>
      </c>
      <c r="C262" s="2" t="s">
        <v>496</v>
      </c>
      <c r="D262" s="8">
        <v>2</v>
      </c>
      <c r="E262" s="8" t="s">
        <v>318</v>
      </c>
      <c r="F262" s="8" t="s">
        <v>8</v>
      </c>
      <c r="G262" s="8" t="s">
        <v>76</v>
      </c>
      <c r="H262" s="8" t="s">
        <v>437</v>
      </c>
      <c r="I262" s="2"/>
      <c r="J262" s="8">
        <v>3074</v>
      </c>
      <c r="K262" s="33" t="s">
        <v>437</v>
      </c>
      <c r="L262" s="33" t="str">
        <f t="shared" si="36"/>
        <v>172.29.12.69</v>
      </c>
      <c r="M262" s="33">
        <v>33074</v>
      </c>
      <c r="N262" s="33" t="str">
        <f t="shared" si="37"/>
        <v>172.29.12.68</v>
      </c>
      <c r="O262" s="33">
        <f t="shared" ref="O262" si="42">+M262+10000</f>
        <v>43074</v>
      </c>
      <c r="P262" s="33" t="s">
        <v>94</v>
      </c>
      <c r="Q262" s="34" t="s">
        <v>95</v>
      </c>
      <c r="R262" s="3" t="str">
        <f t="shared" si="39"/>
        <v>"2":{"type":"con","src":{"33074":{"raddr":"172.29.12.69:0","mhdr":"iBHb2","name":"NODO-01"},"43074":{"raddr":"172.29.12.68:0","mhdr":"iBHb2","name":"NODO-02"}},"dst":{"mode":"server","raddr":"10.2.74.21:0","lport":"3074 iBHb2","name":"Red ATM ATH in 1"},"plugin": {"file":"slb_plugin_rm_biciso.so","type":"RM"}},</v>
      </c>
    </row>
    <row r="263" spans="1:18">
      <c r="A263" s="63"/>
      <c r="B263" s="7" t="s">
        <v>128</v>
      </c>
      <c r="C263" s="2" t="s">
        <v>496</v>
      </c>
      <c r="D263" s="8">
        <v>3</v>
      </c>
      <c r="E263" s="8" t="s">
        <v>319</v>
      </c>
      <c r="F263" s="8" t="s">
        <v>14</v>
      </c>
      <c r="G263" s="8"/>
      <c r="H263" s="8" t="s">
        <v>437</v>
      </c>
      <c r="I263" s="8" t="s">
        <v>13</v>
      </c>
      <c r="J263" s="8">
        <v>2074</v>
      </c>
      <c r="K263" s="33" t="s">
        <v>437</v>
      </c>
      <c r="L263" s="33" t="str">
        <f t="shared" si="36"/>
        <v>172.29.12.69</v>
      </c>
      <c r="M263" s="33">
        <v>52074</v>
      </c>
      <c r="N263" s="33" t="str">
        <f t="shared" si="37"/>
        <v>172.29.12.68</v>
      </c>
      <c r="O263" s="33">
        <f>+M263-30000</f>
        <v>22074</v>
      </c>
      <c r="P263" s="33" t="s">
        <v>94</v>
      </c>
      <c r="Q263" s="34" t="s">
        <v>95</v>
      </c>
      <c r="R263" s="3" t="str">
        <f t="shared" si="39"/>
        <v>"3":{"type":"con","src":{"52074":{"raddr":"172.29.12.69:0","mhdr":"iBHb2","name":"NODO-01"},"22074":{"raddr":"172.29.12.68:0","mhdr":"iBHb2","name":"NODO-02"}},"dst":{"mode":"client","raddr":"172.19.207.40:2074","mhdr":"iBHb2","name":"Red ATM ATH out 2"},"plugin": {"file":"slb_plugin_rm_biciso.so","type":"RM"}},</v>
      </c>
    </row>
    <row r="264" spans="1:18" ht="15" thickBot="1">
      <c r="A264" s="64"/>
      <c r="B264" s="16" t="s">
        <v>78</v>
      </c>
      <c r="C264" s="14" t="s">
        <v>496</v>
      </c>
      <c r="D264" s="17">
        <v>4</v>
      </c>
      <c r="E264" s="17" t="s">
        <v>320</v>
      </c>
      <c r="F264" s="17" t="s">
        <v>8</v>
      </c>
      <c r="G264" s="17" t="s">
        <v>76</v>
      </c>
      <c r="H264" s="17" t="s">
        <v>437</v>
      </c>
      <c r="I264" s="14"/>
      <c r="J264" s="17">
        <v>2074</v>
      </c>
      <c r="K264" s="35" t="s">
        <v>437</v>
      </c>
      <c r="L264" s="35" t="str">
        <f t="shared" si="36"/>
        <v>172.29.12.69</v>
      </c>
      <c r="M264" s="35">
        <v>32074</v>
      </c>
      <c r="N264" s="35" t="str">
        <f t="shared" si="37"/>
        <v>172.29.12.68</v>
      </c>
      <c r="O264" s="35">
        <f t="shared" ref="O264" si="43">+M264+10000</f>
        <v>42074</v>
      </c>
      <c r="P264" s="35" t="s">
        <v>94</v>
      </c>
      <c r="Q264" s="36" t="s">
        <v>96</v>
      </c>
      <c r="R264" s="3" t="str">
        <f t="shared" si="39"/>
        <v>"4":{"type":"con","src":{"32074":{"raddr":"172.29.12.69:0","mhdr":"iBHb2","name":"NODO-01"},"42074":{"raddr":"172.29.12.68:0","mhdr":"iBHb2","name":"NODO-02"}},"dst":{"mode":"server","raddr":"10.2.74.21:0","lport":"2074 iBHb2","name":"Red ATM ATH in 2"},"plugin": {"file":"slb_plugin_rm_biciso.so","type":"RM"}}}},</v>
      </c>
    </row>
    <row r="265" spans="1:18">
      <c r="A265" s="47">
        <v>18</v>
      </c>
      <c r="B265" s="23" t="s">
        <v>181</v>
      </c>
      <c r="C265" s="10" t="s">
        <v>496</v>
      </c>
      <c r="D265" s="29">
        <v>1</v>
      </c>
      <c r="E265" s="29" t="s">
        <v>321</v>
      </c>
      <c r="F265" s="29" t="s">
        <v>8</v>
      </c>
      <c r="G265" s="29" t="s">
        <v>183</v>
      </c>
      <c r="H265" s="29" t="s">
        <v>55</v>
      </c>
      <c r="I265" s="10"/>
      <c r="J265" s="29">
        <v>5226</v>
      </c>
      <c r="K265" s="32" t="s">
        <v>55</v>
      </c>
      <c r="L265" s="32" t="str">
        <f t="shared" si="36"/>
        <v>172.29.12.69</v>
      </c>
      <c r="M265" s="32">
        <v>35216</v>
      </c>
      <c r="N265" s="32" t="str">
        <f t="shared" si="37"/>
        <v>172.29.12.68</v>
      </c>
      <c r="O265" s="32">
        <f t="shared" si="19"/>
        <v>45216</v>
      </c>
      <c r="P265" s="32" t="s">
        <v>94</v>
      </c>
      <c r="Q265" s="49" t="s">
        <v>95</v>
      </c>
      <c r="R265" s="3" t="str">
        <f t="shared" si="39"/>
        <v>"18":{"rules":{"1":{"type":"con","src":{"35216":{"raddr":"172.29.12.69:0","mhdr":"BHb2","name":"NODO-01"},"45216":{"raddr":"172.29.12.68:0","mhdr":"BHb2","name":"NODO-02"}},"dst":{"mode":"server","raddr":"10.90.2.66:0","lport":"5226 BHb2","name":"Aviatur In"},"plugin": {"file":"slb_plugin_rm_biciso.so","type":"RM"}},</v>
      </c>
    </row>
    <row r="266" spans="1:18" ht="15" thickBot="1">
      <c r="A266" s="40"/>
      <c r="B266" s="16" t="s">
        <v>182</v>
      </c>
      <c r="C266" s="14" t="s">
        <v>496</v>
      </c>
      <c r="D266" s="17">
        <v>2</v>
      </c>
      <c r="E266" s="17" t="s">
        <v>322</v>
      </c>
      <c r="F266" s="17" t="s">
        <v>14</v>
      </c>
      <c r="G266" s="17"/>
      <c r="H266" s="17" t="s">
        <v>55</v>
      </c>
      <c r="I266" s="17" t="s">
        <v>13</v>
      </c>
      <c r="J266" s="17">
        <v>5226</v>
      </c>
      <c r="K266" s="35" t="s">
        <v>55</v>
      </c>
      <c r="L266" s="35" t="str">
        <f t="shared" si="36"/>
        <v>172.29.12.69</v>
      </c>
      <c r="M266" s="35">
        <v>35226</v>
      </c>
      <c r="N266" s="35" t="str">
        <f t="shared" si="37"/>
        <v>172.29.12.68</v>
      </c>
      <c r="O266" s="35">
        <f t="shared" si="19"/>
        <v>45226</v>
      </c>
      <c r="P266" s="35" t="s">
        <v>94</v>
      </c>
      <c r="Q266" s="36" t="s">
        <v>96</v>
      </c>
      <c r="R266" s="3" t="str">
        <f t="shared" si="39"/>
        <v>"2":{"type":"con","src":{"35226":{"raddr":"172.29.12.69:0","mhdr":"BHb2","name":"NODO-01"},"45226":{"raddr":"172.29.12.68:0","mhdr":"BHb2","name":"NODO-02"}},"dst":{"mode":"client","raddr":"172.19.207.40:5226","mhdr":"BHb2","name":"Aviatur Out"},"plugin": {"file":"slb_plugin_rm_biciso.so","type":"RM"}}}},</v>
      </c>
    </row>
    <row r="267" spans="1:18">
      <c r="A267" s="47">
        <v>19</v>
      </c>
      <c r="B267" s="23" t="s">
        <v>184</v>
      </c>
      <c r="C267" s="10" t="s">
        <v>496</v>
      </c>
      <c r="D267" s="29">
        <v>1</v>
      </c>
      <c r="E267" s="29" t="s">
        <v>323</v>
      </c>
      <c r="F267" s="29" t="s">
        <v>8</v>
      </c>
      <c r="G267" s="29" t="s">
        <v>188</v>
      </c>
      <c r="H267" s="29" t="s">
        <v>55</v>
      </c>
      <c r="I267" s="10"/>
      <c r="J267" s="29">
        <v>8501</v>
      </c>
      <c r="K267" s="32" t="s">
        <v>55</v>
      </c>
      <c r="L267" s="32" t="str">
        <f t="shared" si="36"/>
        <v>172.29.12.69</v>
      </c>
      <c r="M267" s="32">
        <v>38501</v>
      </c>
      <c r="N267" s="32" t="str">
        <f t="shared" si="37"/>
        <v>172.29.12.68</v>
      </c>
      <c r="O267" s="32">
        <f>+M267+10000</f>
        <v>48501</v>
      </c>
      <c r="P267" s="32" t="s">
        <v>94</v>
      </c>
      <c r="Q267" s="49" t="s">
        <v>95</v>
      </c>
      <c r="R267" s="3" t="str">
        <f t="shared" si="39"/>
        <v>"19":{"rules":{"1":{"type":"con","src":{"38501":{"raddr":"172.29.12.69:0","mhdr":"BHb2","name":"NODO-01"},"48501":{"raddr":"172.29.12.68:0","mhdr":"BHb2","name":"NODO-02"}},"dst":{"mode":"server","raddr":"100.69.0.40:0","lport":"8501 BHb2","name":"MPOS Verifon In 1"},"plugin": {"file":"slb_plugin_rm_biciso.so","type":"RM"}},</v>
      </c>
    </row>
    <row r="268" spans="1:18">
      <c r="A268" s="30"/>
      <c r="B268" s="7" t="s">
        <v>185</v>
      </c>
      <c r="C268" s="2" t="s">
        <v>496</v>
      </c>
      <c r="D268" s="8">
        <v>2</v>
      </c>
      <c r="E268" s="8" t="s">
        <v>324</v>
      </c>
      <c r="F268" s="8" t="s">
        <v>14</v>
      </c>
      <c r="G268" s="2"/>
      <c r="H268" s="8" t="s">
        <v>55</v>
      </c>
      <c r="I268" s="8" t="s">
        <v>13</v>
      </c>
      <c r="J268" s="8">
        <v>8501</v>
      </c>
      <c r="K268" s="33" t="s">
        <v>55</v>
      </c>
      <c r="L268" s="33" t="str">
        <f t="shared" si="36"/>
        <v>172.29.12.69</v>
      </c>
      <c r="M268" s="33">
        <v>38511</v>
      </c>
      <c r="N268" s="33" t="str">
        <f t="shared" si="37"/>
        <v>172.29.12.68</v>
      </c>
      <c r="O268" s="33">
        <f>+M268+10000</f>
        <v>48511</v>
      </c>
      <c r="P268" s="33" t="s">
        <v>94</v>
      </c>
      <c r="Q268" s="34" t="s">
        <v>95</v>
      </c>
      <c r="R268" s="3" t="str">
        <f t="shared" si="39"/>
        <v>"2":{"type":"con","src":{"38511":{"raddr":"172.29.12.69:0","mhdr":"BHb2","name":"NODO-01"},"48511":{"raddr":"172.29.12.68:0","mhdr":"BHb2","name":"NODO-02"}},"dst":{"mode":"client","raddr":"172.19.207.40:8501","mhdr":"BHb2","name":"MPOS Verifon Out 1"},"plugin": {"file":"slb_plugin_rm_biciso.so","type":"RM"}},</v>
      </c>
    </row>
    <row r="269" spans="1:18">
      <c r="A269" s="30"/>
      <c r="B269" s="7" t="s">
        <v>186</v>
      </c>
      <c r="C269" s="2" t="s">
        <v>496</v>
      </c>
      <c r="D269" s="8">
        <v>3</v>
      </c>
      <c r="E269" s="8" t="s">
        <v>325</v>
      </c>
      <c r="F269" s="8" t="s">
        <v>14</v>
      </c>
      <c r="G269" s="8"/>
      <c r="H269" s="8" t="s">
        <v>55</v>
      </c>
      <c r="I269" s="8" t="s">
        <v>189</v>
      </c>
      <c r="J269" s="8">
        <v>8502</v>
      </c>
      <c r="K269" s="33" t="s">
        <v>55</v>
      </c>
      <c r="L269" s="33" t="str">
        <f t="shared" si="36"/>
        <v>172.29.12.69</v>
      </c>
      <c r="M269" s="33">
        <v>38502</v>
      </c>
      <c r="N269" s="33" t="str">
        <f t="shared" si="37"/>
        <v>172.29.12.68</v>
      </c>
      <c r="O269" s="33">
        <f>+M269+10000</f>
        <v>48502</v>
      </c>
      <c r="P269" s="33" t="s">
        <v>94</v>
      </c>
      <c r="Q269" s="34" t="s">
        <v>95</v>
      </c>
      <c r="R269" s="3" t="str">
        <f t="shared" si="39"/>
        <v>"3":{"type":"con","src":{"38502":{"raddr":"172.29.12.69:0","mhdr":"BHb2","name":"NODO-01"},"48502":{"raddr":"172.29.12.68:0","mhdr":"BHb2","name":"NODO-02"}},"dst":{"mode":"client","raddr":"100.69.0.32:8502","mhdr":"BHb2","name":"MPOS Verifon In 2"},"plugin": {"file":"slb_plugin_rm_biciso.so","type":"RM"}},</v>
      </c>
    </row>
    <row r="270" spans="1:18" ht="15" thickBot="1">
      <c r="A270" s="40"/>
      <c r="B270" s="16" t="s">
        <v>187</v>
      </c>
      <c r="C270" s="14" t="s">
        <v>496</v>
      </c>
      <c r="D270" s="17">
        <v>4</v>
      </c>
      <c r="E270" s="17" t="s">
        <v>326</v>
      </c>
      <c r="F270" s="17" t="s">
        <v>8</v>
      </c>
      <c r="G270" s="17" t="s">
        <v>13</v>
      </c>
      <c r="H270" s="17" t="s">
        <v>55</v>
      </c>
      <c r="I270" s="14"/>
      <c r="J270" s="17">
        <v>8502</v>
      </c>
      <c r="K270" s="35" t="s">
        <v>55</v>
      </c>
      <c r="L270" s="35" t="str">
        <f t="shared" si="36"/>
        <v>172.29.12.69</v>
      </c>
      <c r="M270" s="35">
        <v>38512</v>
      </c>
      <c r="N270" s="35" t="str">
        <f t="shared" si="37"/>
        <v>172.29.12.68</v>
      </c>
      <c r="O270" s="35">
        <f>+M270+10000</f>
        <v>48512</v>
      </c>
      <c r="P270" s="35" t="s">
        <v>94</v>
      </c>
      <c r="Q270" s="36" t="s">
        <v>96</v>
      </c>
      <c r="R270" s="3" t="str">
        <f t="shared" si="39"/>
        <v>"4":{"type":"con","src":{"38512":{"raddr":"172.29.12.69:0","mhdr":"BHb2","name":"NODO-01"},"48512":{"raddr":"172.29.12.68:0","mhdr":"BHb2","name":"NODO-02"}},"dst":{"mode":"server","raddr":"172.19.207.40:0","lport":"8502 BHb2","name":"MPOS Verifon Out 2"},"plugin": {"file":"slb_plugin_rm_biciso.so","type":"RM"}}}},</v>
      </c>
    </row>
    <row r="271" spans="1:18" ht="15" thickBot="1">
      <c r="A271" s="47">
        <v>20</v>
      </c>
      <c r="B271" s="23" t="s">
        <v>190</v>
      </c>
      <c r="C271" s="10" t="s">
        <v>496</v>
      </c>
      <c r="D271" s="29">
        <v>1</v>
      </c>
      <c r="E271" s="29" t="s">
        <v>327</v>
      </c>
      <c r="F271" s="29" t="s">
        <v>8</v>
      </c>
      <c r="G271" s="29" t="s">
        <v>192</v>
      </c>
      <c r="H271" s="29" t="s">
        <v>55</v>
      </c>
      <c r="I271" s="29"/>
      <c r="J271" s="29">
        <v>3479</v>
      </c>
      <c r="K271" s="32" t="s">
        <v>55</v>
      </c>
      <c r="L271" s="32" t="str">
        <f t="shared" si="36"/>
        <v>172.29.12.69</v>
      </c>
      <c r="M271" s="32">
        <v>33479</v>
      </c>
      <c r="N271" s="32" t="str">
        <f t="shared" si="37"/>
        <v>172.29.12.68</v>
      </c>
      <c r="O271" s="32">
        <f t="shared" si="19"/>
        <v>43479</v>
      </c>
      <c r="P271" s="32" t="s">
        <v>94</v>
      </c>
      <c r="Q271" s="49" t="s">
        <v>95</v>
      </c>
      <c r="R271" s="3" t="str">
        <f t="shared" si="39"/>
        <v>"20":{"rules":{"1":{"type":"con","src":{"33479":{"raddr":"172.29.12.69:0","mhdr":"BHb2","name":"NODO-01"},"43479":{"raddr":"172.29.12.68:0","mhdr":"BHb2","name":"NODO-02"}},"dst":{"mode":"server","raddr":"10.99.77.10:0","lport":"3479 BHb2","name":"iPay In 1"},"plugin": {"file":"slb_plugin_rm_biciso.so","type":"RM"}},</v>
      </c>
    </row>
    <row r="272" spans="1:18" ht="15" thickBot="1">
      <c r="A272" s="47"/>
      <c r="B272" s="23" t="s">
        <v>1414</v>
      </c>
      <c r="C272" s="10" t="s">
        <v>496</v>
      </c>
      <c r="D272" s="29">
        <v>2</v>
      </c>
      <c r="E272" s="29"/>
      <c r="F272" s="29" t="s">
        <v>8</v>
      </c>
      <c r="G272" s="29" t="s">
        <v>192</v>
      </c>
      <c r="H272" s="29" t="s">
        <v>55</v>
      </c>
      <c r="I272" s="29"/>
      <c r="J272" s="29">
        <v>3546</v>
      </c>
      <c r="K272" s="32" t="s">
        <v>55</v>
      </c>
      <c r="L272" s="32" t="str">
        <f t="shared" si="36"/>
        <v>172.29.12.69</v>
      </c>
      <c r="M272" s="32">
        <f>J272+30000</f>
        <v>33546</v>
      </c>
      <c r="N272" s="32" t="str">
        <f t="shared" si="37"/>
        <v>172.29.12.68</v>
      </c>
      <c r="O272" s="32">
        <f t="shared" ref="O272" si="44">+M272+10000</f>
        <v>43546</v>
      </c>
      <c r="P272" s="32" t="s">
        <v>94</v>
      </c>
      <c r="Q272" s="49" t="s">
        <v>95</v>
      </c>
      <c r="R272" s="3" t="str">
        <f t="shared" ref="R272" si="45">CONCATENATE(IF(A272&lt;&gt;"",CONCATENATE("""",A272,"""",":{","""","rules","""",":{"),""),"""",D272,""":{""type"":""con"",""src"":{""",M272,""":{""raddr"":""",L272,":0"",""mhdr"":""",K272,""",","""name""",":","""NODO-01","""},""",O272,""":{""raddr"":""",N272,":0"",""mhdr"":""",K272,""",","""name""",":","""NODO-02","""}},","""dst"":{""mode"":""",F272,""",""raddr"":""",IF(F272="server",G272,I272),":",IF(F272="server",0,J272),""",""",IF(F272="server","lport","mhdr"),""":""",IF(F272="server",J272,""),IF(F272="server"," ",""),K272,""",","""name""",":","""",B272,IF(P272&lt;&gt;"",CONCATENATE("""},","""plugin""",": {","""file""",":""",P272,""",","""type""",":","""","RM",""""),""""),Q272)</f>
        <v>"2":{"type":"con","src":{"33546":{"raddr":"172.29.12.69:0","mhdr":"BHb2","name":"NODO-01"},"43546":{"raddr":"172.29.12.68:0","mhdr":"BHb2","name":"NODO-02"}},"dst":{"mode":"server","raddr":"10.99.77.10:0","lport":"3546 BHb2","name":"iPay In 2"},"plugin": {"file":"slb_plugin_rm_biciso.so","type":"RM"}},</v>
      </c>
    </row>
    <row r="273" spans="1:18">
      <c r="A273" s="47"/>
      <c r="B273" s="23" t="s">
        <v>1415</v>
      </c>
      <c r="C273" s="10" t="s">
        <v>496</v>
      </c>
      <c r="D273" s="29">
        <v>3</v>
      </c>
      <c r="E273" s="29"/>
      <c r="F273" s="29" t="s">
        <v>8</v>
      </c>
      <c r="G273" s="29" t="s">
        <v>192</v>
      </c>
      <c r="H273" s="29" t="s">
        <v>55</v>
      </c>
      <c r="I273" s="29"/>
      <c r="J273" s="29">
        <v>3547</v>
      </c>
      <c r="K273" s="32" t="s">
        <v>55</v>
      </c>
      <c r="L273" s="32" t="str">
        <f t="shared" si="36"/>
        <v>172.29.12.69</v>
      </c>
      <c r="M273" s="32">
        <f>J273+30000</f>
        <v>33547</v>
      </c>
      <c r="N273" s="32" t="str">
        <f t="shared" si="37"/>
        <v>172.29.12.68</v>
      </c>
      <c r="O273" s="32">
        <f t="shared" ref="O273" si="46">+M273+10000</f>
        <v>43547</v>
      </c>
      <c r="P273" s="32" t="s">
        <v>94</v>
      </c>
      <c r="Q273" s="49" t="s">
        <v>95</v>
      </c>
      <c r="R273" s="3" t="str">
        <f t="shared" ref="R273" si="47">CONCATENATE(IF(A273&lt;&gt;"",CONCATENATE("""",A273,"""",":{","""","rules","""",":{"),""),"""",D273,""":{""type"":""con"",""src"":{""",M273,""":{""raddr"":""",L273,":0"",""mhdr"":""",K273,""",","""name""",":","""NODO-01","""},""",O273,""":{""raddr"":""",N273,":0"",""mhdr"":""",K273,""",","""name""",":","""NODO-02","""}},","""dst"":{""mode"":""",F273,""",""raddr"":""",IF(F273="server",G273,I273),":",IF(F273="server",0,J273),""",""",IF(F273="server","lport","mhdr"),""":""",IF(F273="server",J273,""),IF(F273="server"," ",""),K273,""",","""name""",":","""",B273,IF(P273&lt;&gt;"",CONCATENATE("""},","""plugin""",": {","""file""",":""",P273,""",","""type""",":","""","RM",""""),""""),Q273)</f>
        <v>"3":{"type":"con","src":{"33547":{"raddr":"172.29.12.69:0","mhdr":"BHb2","name":"NODO-01"},"43547":{"raddr":"172.29.12.68:0","mhdr":"BHb2","name":"NODO-02"}},"dst":{"mode":"server","raddr":"10.99.77.10:0","lport":"3547 BHb2","name":"iPay In 3"},"plugin": {"file":"slb_plugin_rm_biciso.so","type":"RM"}},</v>
      </c>
    </row>
    <row r="274" spans="1:18" ht="15" thickBot="1">
      <c r="A274" s="40"/>
      <c r="B274" s="16" t="s">
        <v>191</v>
      </c>
      <c r="C274" s="14" t="s">
        <v>496</v>
      </c>
      <c r="D274" s="17">
        <v>4</v>
      </c>
      <c r="E274" s="17" t="s">
        <v>328</v>
      </c>
      <c r="F274" s="17" t="s">
        <v>14</v>
      </c>
      <c r="G274" s="17"/>
      <c r="H274" s="17" t="s">
        <v>55</v>
      </c>
      <c r="I274" s="17" t="s">
        <v>13</v>
      </c>
      <c r="J274" s="17">
        <v>3544</v>
      </c>
      <c r="K274" s="35" t="s">
        <v>55</v>
      </c>
      <c r="L274" s="35" t="str">
        <f t="shared" si="36"/>
        <v>172.29.12.69</v>
      </c>
      <c r="M274" s="35">
        <v>33544</v>
      </c>
      <c r="N274" s="35" t="str">
        <f t="shared" si="37"/>
        <v>172.29.12.68</v>
      </c>
      <c r="O274" s="35">
        <f t="shared" si="19"/>
        <v>43544</v>
      </c>
      <c r="P274" s="35" t="s">
        <v>94</v>
      </c>
      <c r="Q274" s="36" t="s">
        <v>95</v>
      </c>
      <c r="R274" s="3" t="str">
        <f t="shared" si="39"/>
        <v>"4":{"type":"con","src":{"33544":{"raddr":"172.29.12.69:0","mhdr":"BHb2","name":"NODO-01"},"43544":{"raddr":"172.29.12.68:0","mhdr":"BHb2","name":"NODO-02"}},"dst":{"mode":"client","raddr":"172.19.207.40:3544","mhdr":"BHb2","name":"iPay Out 1"},"plugin": {"file":"slb_plugin_rm_biciso.so","type":"RM"}},</v>
      </c>
    </row>
    <row r="275" spans="1:18" ht="15" thickBot="1">
      <c r="A275" s="40"/>
      <c r="B275" s="16" t="s">
        <v>1416</v>
      </c>
      <c r="C275" s="14" t="s">
        <v>496</v>
      </c>
      <c r="D275" s="17">
        <v>5</v>
      </c>
      <c r="E275" s="17"/>
      <c r="F275" s="17" t="s">
        <v>14</v>
      </c>
      <c r="G275" s="17"/>
      <c r="H275" s="17" t="s">
        <v>55</v>
      </c>
      <c r="I275" s="17" t="s">
        <v>13</v>
      </c>
      <c r="J275" s="17">
        <v>3546</v>
      </c>
      <c r="K275" s="35" t="s">
        <v>55</v>
      </c>
      <c r="L275" s="35" t="str">
        <f t="shared" si="36"/>
        <v>172.29.12.69</v>
      </c>
      <c r="M275" s="35">
        <f>J275+50000</f>
        <v>53546</v>
      </c>
      <c r="N275" s="35" t="str">
        <f t="shared" si="37"/>
        <v>172.29.12.68</v>
      </c>
      <c r="O275" s="35">
        <f>+M275-30000</f>
        <v>23546</v>
      </c>
      <c r="P275" s="35" t="s">
        <v>94</v>
      </c>
      <c r="Q275" s="36" t="s">
        <v>95</v>
      </c>
      <c r="R275" s="3" t="str">
        <f t="shared" si="39"/>
        <v>"5":{"type":"con","src":{"53546":{"raddr":"172.29.12.69:0","mhdr":"BHb2","name":"NODO-01"},"23546":{"raddr":"172.29.12.68:0","mhdr":"BHb2","name":"NODO-02"}},"dst":{"mode":"client","raddr":"172.19.207.40:3546","mhdr":"BHb2","name":"iPay Out 2"},"plugin": {"file":"slb_plugin_rm_biciso.so","type":"RM"}},</v>
      </c>
    </row>
    <row r="276" spans="1:18" ht="15" thickBot="1">
      <c r="A276" s="40"/>
      <c r="B276" s="16" t="s">
        <v>1417</v>
      </c>
      <c r="C276" s="14" t="s">
        <v>496</v>
      </c>
      <c r="D276" s="17">
        <v>6</v>
      </c>
      <c r="E276" s="17"/>
      <c r="F276" s="17" t="s">
        <v>14</v>
      </c>
      <c r="G276" s="17"/>
      <c r="H276" s="17" t="s">
        <v>55</v>
      </c>
      <c r="I276" s="17" t="s">
        <v>13</v>
      </c>
      <c r="J276" s="17">
        <v>3547</v>
      </c>
      <c r="K276" s="35" t="s">
        <v>55</v>
      </c>
      <c r="L276" s="35" t="str">
        <f t="shared" si="36"/>
        <v>172.29.12.69</v>
      </c>
      <c r="M276" s="35">
        <f>J276+50000</f>
        <v>53547</v>
      </c>
      <c r="N276" s="35" t="str">
        <f t="shared" si="37"/>
        <v>172.29.12.68</v>
      </c>
      <c r="O276" s="35">
        <f>+M276-30000</f>
        <v>23547</v>
      </c>
      <c r="P276" s="35" t="s">
        <v>94</v>
      </c>
      <c r="Q276" s="36" t="s">
        <v>96</v>
      </c>
      <c r="R276" s="3" t="str">
        <f t="shared" ref="R276" si="48">CONCATENATE(IF(A276&lt;&gt;"",CONCATENATE("""",A276,"""",":{","""","rules","""",":{"),""),"""",D276,""":{""type"":""con"",""src"":{""",M276,""":{""raddr"":""",L276,":0"",""mhdr"":""",K276,""",","""name""",":","""NODO-01","""},""",O276,""":{""raddr"":""",N276,":0"",""mhdr"":""",K276,""",","""name""",":","""NODO-02","""}},","""dst"":{""mode"":""",F276,""",""raddr"":""",IF(F276="server",G276,I276),":",IF(F276="server",0,J276),""",""",IF(F276="server","lport","mhdr"),""":""",IF(F276="server",J276,""),IF(F276="server"," ",""),K276,""",","""name""",":","""",B276,IF(P276&lt;&gt;"",CONCATENATE("""},","""plugin""",": {","""file""",":""",P276,""",","""type""",":","""","RM",""""),""""),Q276)</f>
        <v>"6":{"type":"con","src":{"53547":{"raddr":"172.29.12.69:0","mhdr":"BHb2","name":"NODO-01"},"23547":{"raddr":"172.29.12.68:0","mhdr":"BHb2","name":"NODO-02"}},"dst":{"mode":"client","raddr":"172.19.207.40:3547","mhdr":"BHb2","name":"iPay Out 3"},"plugin": {"file":"slb_plugin_rm_biciso.so","type":"RM"}}}},</v>
      </c>
    </row>
    <row r="277" spans="1:18">
      <c r="A277" s="92">
        <v>21</v>
      </c>
      <c r="B277" s="23" t="s">
        <v>193</v>
      </c>
      <c r="C277" s="10" t="s">
        <v>497</v>
      </c>
      <c r="D277" s="29">
        <v>1</v>
      </c>
      <c r="E277" s="29" t="s">
        <v>329</v>
      </c>
      <c r="F277" s="29" t="s">
        <v>8</v>
      </c>
      <c r="G277" s="29" t="s">
        <v>506</v>
      </c>
      <c r="H277" s="29" t="s">
        <v>55</v>
      </c>
      <c r="I277" s="29"/>
      <c r="J277" s="29">
        <v>8615</v>
      </c>
      <c r="K277" s="32" t="s">
        <v>55</v>
      </c>
      <c r="L277" s="32" t="str">
        <f t="shared" si="36"/>
        <v>172.29.12.69</v>
      </c>
      <c r="M277" s="32">
        <v>38084</v>
      </c>
      <c r="N277" s="32" t="str">
        <f t="shared" si="37"/>
        <v>172.29.12.68</v>
      </c>
      <c r="O277" s="32">
        <f>+M277+10000</f>
        <v>48084</v>
      </c>
      <c r="P277" s="32" t="s">
        <v>94</v>
      </c>
      <c r="Q277" s="49" t="s">
        <v>95</v>
      </c>
      <c r="R277" s="3" t="str">
        <f t="shared" si="39"/>
        <v>"21":{"rules":{"1":{"type":"con","src":{"38084":{"raddr":"172.29.12.69:0","mhdr":"BHb2","name":"NODO-01"},"48084":{"raddr":"172.29.12.68:0","mhdr":"BHb2","name":"NODO-02"}},"dst":{"mode":"server","raddr":"172.27.1.144:0","lport":"8615 BHb2","name":"Cencosud In 1"},"plugin": {"file":"slb_plugin_rm_biciso.so","type":"RM"}},</v>
      </c>
    </row>
    <row r="278" spans="1:18">
      <c r="A278" s="30"/>
      <c r="B278" s="7" t="s">
        <v>194</v>
      </c>
      <c r="C278" s="2" t="s">
        <v>497</v>
      </c>
      <c r="D278" s="8">
        <v>2</v>
      </c>
      <c r="E278" s="8" t="s">
        <v>330</v>
      </c>
      <c r="F278" s="8" t="s">
        <v>8</v>
      </c>
      <c r="G278" s="8" t="s">
        <v>506</v>
      </c>
      <c r="H278" s="8" t="s">
        <v>55</v>
      </c>
      <c r="I278" s="8"/>
      <c r="J278" s="8">
        <v>8715</v>
      </c>
      <c r="K278" s="33" t="s">
        <v>55</v>
      </c>
      <c r="L278" s="33" t="str">
        <f t="shared" si="36"/>
        <v>172.29.12.69</v>
      </c>
      <c r="M278" s="33">
        <v>38085</v>
      </c>
      <c r="N278" s="33" t="str">
        <f t="shared" si="37"/>
        <v>172.29.12.68</v>
      </c>
      <c r="O278" s="33">
        <f>+M278+10000</f>
        <v>48085</v>
      </c>
      <c r="P278" s="33" t="s">
        <v>94</v>
      </c>
      <c r="Q278" s="34" t="s">
        <v>95</v>
      </c>
      <c r="R278" s="3" t="str">
        <f t="shared" si="39"/>
        <v>"2":{"type":"con","src":{"38085":{"raddr":"172.29.12.69:0","mhdr":"BHb2","name":"NODO-01"},"48085":{"raddr":"172.29.12.68:0","mhdr":"BHb2","name":"NODO-02"}},"dst":{"mode":"server","raddr":"172.27.1.144:0","lport":"8715 BHb2","name":"Cencosud In 2"},"plugin": {"file":"slb_plugin_rm_biciso.so","type":"RM"}},</v>
      </c>
    </row>
    <row r="279" spans="1:18">
      <c r="A279" s="63"/>
      <c r="B279" s="7" t="s">
        <v>195</v>
      </c>
      <c r="C279" s="2" t="s">
        <v>497</v>
      </c>
      <c r="D279" s="8">
        <v>3</v>
      </c>
      <c r="E279" s="8" t="s">
        <v>331</v>
      </c>
      <c r="F279" s="8" t="s">
        <v>14</v>
      </c>
      <c r="G279" s="8"/>
      <c r="H279" s="8" t="s">
        <v>55</v>
      </c>
      <c r="I279" s="8" t="s">
        <v>13</v>
      </c>
      <c r="J279" s="8">
        <v>8615</v>
      </c>
      <c r="K279" s="33" t="s">
        <v>55</v>
      </c>
      <c r="L279" s="33" t="str">
        <f t="shared" si="36"/>
        <v>172.29.12.69</v>
      </c>
      <c r="M279" s="33">
        <v>38184</v>
      </c>
      <c r="N279" s="33" t="str">
        <f t="shared" si="37"/>
        <v>172.29.12.68</v>
      </c>
      <c r="O279" s="33">
        <f>+M279+10000</f>
        <v>48184</v>
      </c>
      <c r="P279" s="33" t="s">
        <v>94</v>
      </c>
      <c r="Q279" s="34" t="s">
        <v>95</v>
      </c>
      <c r="R279" s="3" t="str">
        <f t="shared" si="39"/>
        <v>"3":{"type":"con","src":{"38184":{"raddr":"172.29.12.69:0","mhdr":"BHb2","name":"NODO-01"},"48184":{"raddr":"172.29.12.68:0","mhdr":"BHb2","name":"NODO-02"}},"dst":{"mode":"client","raddr":"172.19.207.40:8615","mhdr":"BHb2","name":"Cencosud Out 1"},"plugin": {"file":"slb_plugin_rm_biciso.so","type":"RM"}},</v>
      </c>
    </row>
    <row r="280" spans="1:18" ht="15" thickBot="1">
      <c r="A280" s="40"/>
      <c r="B280" s="16" t="s">
        <v>196</v>
      </c>
      <c r="C280" s="14" t="s">
        <v>497</v>
      </c>
      <c r="D280" s="17">
        <v>4</v>
      </c>
      <c r="E280" s="17" t="s">
        <v>332</v>
      </c>
      <c r="F280" s="17" t="s">
        <v>14</v>
      </c>
      <c r="G280" s="14"/>
      <c r="H280" s="17" t="s">
        <v>55</v>
      </c>
      <c r="I280" s="17" t="s">
        <v>13</v>
      </c>
      <c r="J280" s="17">
        <v>8715</v>
      </c>
      <c r="K280" s="35" t="s">
        <v>55</v>
      </c>
      <c r="L280" s="35" t="str">
        <f t="shared" si="36"/>
        <v>172.29.12.69</v>
      </c>
      <c r="M280" s="35">
        <v>38185</v>
      </c>
      <c r="N280" s="35" t="str">
        <f t="shared" si="37"/>
        <v>172.29.12.68</v>
      </c>
      <c r="O280" s="35">
        <f>+M280+10000</f>
        <v>48185</v>
      </c>
      <c r="P280" s="35" t="s">
        <v>94</v>
      </c>
      <c r="Q280" s="36" t="s">
        <v>96</v>
      </c>
      <c r="R280" s="3" t="str">
        <f t="shared" si="39"/>
        <v>"4":{"type":"con","src":{"38185":{"raddr":"172.29.12.69:0","mhdr":"BHb2","name":"NODO-01"},"48185":{"raddr":"172.29.12.68:0","mhdr":"BHb2","name":"NODO-02"}},"dst":{"mode":"client","raddr":"172.19.207.40:8715","mhdr":"BHb2","name":"Cencosud Out 2"},"plugin": {"file":"slb_plugin_rm_biciso.so","type":"RM"}}}},</v>
      </c>
    </row>
    <row r="281" spans="1:18">
      <c r="A281" s="92">
        <v>22</v>
      </c>
      <c r="B281" s="23" t="s">
        <v>114</v>
      </c>
      <c r="C281" s="10" t="s">
        <v>496</v>
      </c>
      <c r="D281" s="29">
        <v>1</v>
      </c>
      <c r="E281" s="29" t="s">
        <v>333</v>
      </c>
      <c r="F281" s="29" t="s">
        <v>14</v>
      </c>
      <c r="G281" s="29"/>
      <c r="H281" s="29" t="s">
        <v>437</v>
      </c>
      <c r="I281" s="29" t="s">
        <v>13</v>
      </c>
      <c r="J281" s="29">
        <v>2214</v>
      </c>
      <c r="K281" s="32" t="s">
        <v>437</v>
      </c>
      <c r="L281" s="32" t="str">
        <f t="shared" si="36"/>
        <v>172.29.12.69</v>
      </c>
      <c r="M281" s="32">
        <v>52214</v>
      </c>
      <c r="N281" s="32" t="str">
        <f t="shared" si="37"/>
        <v>172.29.12.68</v>
      </c>
      <c r="O281" s="32">
        <f>+M281-30000</f>
        <v>22214</v>
      </c>
      <c r="P281" s="32" t="s">
        <v>94</v>
      </c>
      <c r="Q281" s="49" t="s">
        <v>95</v>
      </c>
      <c r="R281" s="3" t="str">
        <f t="shared" si="39"/>
        <v>"22":{"rules":{"1":{"type":"con","src":{"52214":{"raddr":"172.29.12.69:0","mhdr":"iBHb2","name":"NODO-01"},"22214":{"raddr":"172.29.12.68:0","mhdr":"iBHb2","name":"NODO-02"}},"dst":{"mode":"client","raddr":"172.19.207.40:2214","mhdr":"iBHb2","name":"Itau Out 1"},"plugin": {"file":"slb_plugin_rm_biciso.so","type":"RM"}},</v>
      </c>
    </row>
    <row r="282" spans="1:18">
      <c r="A282" s="63"/>
      <c r="B282" s="7" t="s">
        <v>112</v>
      </c>
      <c r="C282" s="2" t="s">
        <v>496</v>
      </c>
      <c r="D282" s="8">
        <v>2</v>
      </c>
      <c r="E282" s="43" t="s">
        <v>334</v>
      </c>
      <c r="F282" s="8" t="s">
        <v>8</v>
      </c>
      <c r="G282" s="8" t="s">
        <v>116</v>
      </c>
      <c r="H282" s="8" t="s">
        <v>437</v>
      </c>
      <c r="I282" s="8"/>
      <c r="J282" s="8">
        <v>2214</v>
      </c>
      <c r="K282" s="33" t="s">
        <v>437</v>
      </c>
      <c r="L282" s="33" t="str">
        <f t="shared" si="36"/>
        <v>172.29.12.69</v>
      </c>
      <c r="M282" s="33">
        <v>32214</v>
      </c>
      <c r="N282" s="33" t="s">
        <v>94</v>
      </c>
      <c r="O282" s="33" t="s">
        <v>95</v>
      </c>
      <c r="P282" s="2"/>
      <c r="Q282" s="56"/>
      <c r="R282" s="3" t="str">
        <f>CONCATENATE(IF(A282&lt;&gt;"",CONCATENATE("""",A282,"""",":{","""","rules","""",":{"),""),"""",D282,""":{""type"":""con"",""src"":{""",M282,""":{""raddr"":""",L282,":0"",""mhdr"":""",K282,""",","""name""",":","""NODO-01","""}},","""dst"":{""mode"":""",F282,""",""raddr"":""",IF(F282="server",G282,I282),":",IF(F282="server",0,J282),""",""",IF(F282="server","lport","mhdr"),""":""",IF(F282="server",J282,""),IF(F282="server"," ",""),K282,""",","""name""",":","""",B282,IF(N282&lt;&gt;"",CONCATENATE("""},","""plugin""",": {","""file""",":""",N282,""",","""type""",":","""","RM",""""),""""),O282)</f>
        <v>"2":{"type":"con","src":{"32214":{"raddr":"172.29.12.69:0","mhdr":"iBHb2","name":"NODO-01"}},"dst":{"mode":"server","raddr":"10.2.14.21:0","lport":"2214 iBHb2","name":"Itau In 1"},"plugin": {"file":"slb_plugin_rm_biciso.so","type":"RM"}},</v>
      </c>
    </row>
    <row r="283" spans="1:18">
      <c r="A283" s="63"/>
      <c r="B283" s="7" t="s">
        <v>115</v>
      </c>
      <c r="C283" s="2" t="s">
        <v>496</v>
      </c>
      <c r="D283" s="8">
        <v>3</v>
      </c>
      <c r="E283" s="8" t="s">
        <v>335</v>
      </c>
      <c r="F283" s="8" t="s">
        <v>14</v>
      </c>
      <c r="G283" s="8"/>
      <c r="H283" s="8" t="s">
        <v>437</v>
      </c>
      <c r="I283" s="8" t="s">
        <v>13</v>
      </c>
      <c r="J283" s="8">
        <v>3214</v>
      </c>
      <c r="K283" s="33" t="s">
        <v>437</v>
      </c>
      <c r="L283" s="33" t="str">
        <f t="shared" si="36"/>
        <v>172.29.12.69</v>
      </c>
      <c r="M283" s="33">
        <v>53214</v>
      </c>
      <c r="N283" s="33" t="str">
        <f t="shared" si="37"/>
        <v>172.29.12.68</v>
      </c>
      <c r="O283" s="33">
        <f>+M283-30000</f>
        <v>23214</v>
      </c>
      <c r="P283" s="33" t="s">
        <v>94</v>
      </c>
      <c r="Q283" s="34" t="s">
        <v>95</v>
      </c>
      <c r="R283" s="3" t="str">
        <f t="shared" ref="R283" si="49">CONCATENATE(IF(A283&lt;&gt;"",CONCATENATE("""",A283,"""",":{","""","rules","""",":{"),""),"""",D283,""":{""type"":""con"",""src"":{""",M283,""":{""raddr"":""",L283,":0"",""mhdr"":""",K283,""",","""name""",":","""NODO-01","""},""",O283,""":{""raddr"":""",N283,":0"",""mhdr"":""",K283,""",","""name""",":","""NODO-02","""}},","""dst"":{""mode"":""",F283,""",""raddr"":""",IF(F283="server",G283,I283),":",IF(F283="server",0,J283),""",""",IF(F283="server","lport","mhdr"),""":""",IF(F283="server",J283,""),IF(F283="server"," ",""),K283,""",","""name""",":","""",B283,IF(P283&lt;&gt;"",CONCATENATE("""},","""plugin""",": {","""file""",":""",P283,""",","""type""",":","""","RM",""""),""""),Q283)</f>
        <v>"3":{"type":"con","src":{"53214":{"raddr":"172.29.12.69:0","mhdr":"iBHb2","name":"NODO-01"},"23214":{"raddr":"172.29.12.68:0","mhdr":"iBHb2","name":"NODO-02"}},"dst":{"mode":"client","raddr":"172.19.207.40:3214","mhdr":"iBHb2","name":"Itau Out 2"},"plugin": {"file":"slb_plugin_rm_biciso.so","type":"RM"}},</v>
      </c>
    </row>
    <row r="284" spans="1:18" ht="15" thickBot="1">
      <c r="A284" s="109"/>
      <c r="B284" s="98" t="s">
        <v>113</v>
      </c>
      <c r="C284" s="99" t="s">
        <v>496</v>
      </c>
      <c r="D284" s="100">
        <v>4</v>
      </c>
      <c r="E284" s="101" t="s">
        <v>336</v>
      </c>
      <c r="F284" s="100" t="s">
        <v>8</v>
      </c>
      <c r="G284" s="100" t="s">
        <v>116</v>
      </c>
      <c r="H284" s="100" t="s">
        <v>437</v>
      </c>
      <c r="I284" s="100"/>
      <c r="J284" s="100">
        <v>3214</v>
      </c>
      <c r="K284" s="61" t="s">
        <v>437</v>
      </c>
      <c r="L284" s="61" t="str">
        <f t="shared" si="36"/>
        <v>172.29.12.69</v>
      </c>
      <c r="M284" s="61">
        <v>33214</v>
      </c>
      <c r="N284" s="61" t="s">
        <v>94</v>
      </c>
      <c r="O284" s="61" t="s">
        <v>96</v>
      </c>
      <c r="P284" s="99"/>
      <c r="Q284" s="110"/>
      <c r="R284" s="3" t="str">
        <f>CONCATENATE(IF(A284&lt;&gt;"",CONCATENATE("""",A284,"""",":{","""","rules","""",":{"),""),"""",D284,""":{""type"":""con"",""src"":{""",M284,""":{""raddr"":""",L284,":0"",""mhdr"":""",K284,""",","""name""",":","""NODO-01","""}},","""dst"":{""mode"":""",F284,""",""raddr"":""",IF(F284="server",G284,I284),":",IF(F284="server",0,J284),""",""",IF(F284="server","lport","mhdr"),""":""",IF(F284="server",J284,""),IF(F284="server"," ",""),K284,""",","""name""",":","""",B284,IF(N284&lt;&gt;"",CONCATENATE("""},","""plugin""",": {","""file""",":""",N284,""",","""type""",":","""","RM",""""),""""),O284)</f>
        <v>"4":{"type":"con","src":{"33214":{"raddr":"172.29.12.69:0","mhdr":"iBHb2","name":"NODO-01"}},"dst":{"mode":"server","raddr":"10.2.14.21:0","lport":"3214 iBHb2","name":"Itau In 2"},"plugin": {"file":"slb_plugin_rm_biciso.so","type":"RM"}}}},</v>
      </c>
    </row>
    <row r="285" spans="1:18">
      <c r="A285" s="74">
        <v>23</v>
      </c>
      <c r="B285" s="75" t="s">
        <v>198</v>
      </c>
      <c r="C285" s="75" t="s">
        <v>497</v>
      </c>
      <c r="D285" s="73">
        <v>1</v>
      </c>
      <c r="E285" s="76" t="s">
        <v>337</v>
      </c>
      <c r="F285" s="73" t="s">
        <v>8</v>
      </c>
      <c r="G285" s="73"/>
      <c r="H285" s="73" t="s">
        <v>437</v>
      </c>
      <c r="I285" s="32" t="str">
        <f t="shared" ref="I285" si="50">+$B$174</f>
        <v>172.29.12.69</v>
      </c>
      <c r="J285" s="73">
        <v>55220</v>
      </c>
      <c r="K285" s="32" t="s">
        <v>437</v>
      </c>
      <c r="L285" s="73" t="s">
        <v>13</v>
      </c>
      <c r="M285" s="73">
        <v>5220</v>
      </c>
      <c r="N285" s="73" t="s">
        <v>13</v>
      </c>
      <c r="O285" s="73">
        <v>5221</v>
      </c>
      <c r="P285" s="32" t="s">
        <v>94</v>
      </c>
      <c r="Q285" s="49" t="s">
        <v>95</v>
      </c>
      <c r="R285" s="83" t="str">
        <f>CONCATENATE(IF(A285&lt;&gt;"",CONCATENATE("""",A285,"""",":{","""","rules","""",":{"),""),"""",D285,""":{""type"":""con"",""dst_persist"":""n"",""src"":{""",L285,":",M285,""":{""mhdr"":""",K285,""",","""name""",":","""PRM B24 5220 NODO-01","""},""",N285,":",O285,""":{""mhdr"":""",K285,""",","""name""",":","""PRM B24 5221 NODO-01","""}},","""dst"":{""mode"":""",F285,""",""raddr"":""",IF(F285="server",I285,G285),":",IF(F285="server",0,J285),""",""",IF(F285="server","lport","mhdr"),""":""",IF(F285="server",J285,""),IF(F285="server"," ",""),H285,""",","""name""",":","""",B285,IF(P285&lt;&gt;"",CONCATENATE("""},","""plugin""",": {","""file""",":""",P285,""",","""type""",":","""","RM",""""),""""),Q285)</f>
        <v>"23":{"rules":{"1":{"type":"con","dst_persist":"n","src":{"172.19.207.40:5220":{"mhdr":"iBHb2","name":"PRM B24 5220 NODO-01"},"172.19.207.40:5221":{"mhdr":"iBHb2","name":"PRM B24 5221 NODO-01"}},"dst":{"mode":"server","raddr":"172.29.12.69:0","lport":"55220 iBHb2","name":"PRM Proceso 1"},"plugin": {"file":"slb_plugin_rm_biciso.so","type":"RM"}},</v>
      </c>
    </row>
    <row r="286" spans="1:18" ht="15" thickBot="1">
      <c r="A286" s="77"/>
      <c r="B286" s="78" t="s">
        <v>199</v>
      </c>
      <c r="C286" s="78" t="s">
        <v>497</v>
      </c>
      <c r="D286" s="72">
        <v>2</v>
      </c>
      <c r="E286" s="79" t="s">
        <v>338</v>
      </c>
      <c r="F286" s="72" t="s">
        <v>8</v>
      </c>
      <c r="G286" s="72"/>
      <c r="H286" s="72" t="s">
        <v>437</v>
      </c>
      <c r="I286" s="35" t="str">
        <f t="shared" ref="I286" si="51">+$B$175</f>
        <v>172.29.12.68</v>
      </c>
      <c r="J286" s="72">
        <v>25220</v>
      </c>
      <c r="K286" s="35" t="s">
        <v>437</v>
      </c>
      <c r="L286" s="72" t="s">
        <v>13</v>
      </c>
      <c r="M286" s="72">
        <v>5223</v>
      </c>
      <c r="N286" s="72" t="s">
        <v>13</v>
      </c>
      <c r="O286" s="72">
        <v>5224</v>
      </c>
      <c r="P286" s="35" t="s">
        <v>94</v>
      </c>
      <c r="Q286" s="36" t="s">
        <v>96</v>
      </c>
      <c r="R286" s="83" t="str">
        <f>CONCATENATE(IF(A286&lt;&gt;"",CONCATENATE("""",A286,"""",":{","""","rules","""",":{"),""),"""",D286,""":{""type"":""con"",""dst_persist"":""n"",""src"":{""",L286,":",M286,""":{""mhdr"":""",K286,""",","""name""",":","""PRM B24 5223 NODO-02","""},""",N286,":",O286,""":{""mhdr"":""",K286,""",","""name""",":","""PRM B24 5224 NODO-02","""}},","""dst"":{""mode"":""",F286,""",""raddr"":""",IF(F286="server",I286,G286),":",IF(F286="server",0,J286),""",""",IF(F286="server","lport","mhdr"),""":""",IF(F286="server",J286,""),IF(F286="server"," ",""),H286,""",","""name""",":","""",B286,IF(P286&lt;&gt;"",CONCATENATE("""},","""plugin""",": {","""file""",":""",P286,""",","""type""",":","""","RM",""""),""""),Q286)</f>
        <v>"2":{"type":"con","dst_persist":"n","src":{"172.19.207.40:5223":{"mhdr":"iBHb2","name":"PRM B24 5223 NODO-02"},"172.19.207.40:5224":{"mhdr":"iBHb2","name":"PRM B24 5224 NODO-02"}},"dst":{"mode":"server","raddr":"172.29.12.68:0","lport":"25220 iBHb2","name":"PRM Proceso 2"},"plugin": {"file":"slb_plugin_rm_biciso.so","type":"RM"}}}},</v>
      </c>
    </row>
    <row r="287" spans="1:18">
      <c r="A287" s="92">
        <v>24</v>
      </c>
      <c r="B287" s="23" t="s">
        <v>97</v>
      </c>
      <c r="C287" s="10" t="s">
        <v>497</v>
      </c>
      <c r="D287" s="29">
        <v>1</v>
      </c>
      <c r="E287" s="93" t="s">
        <v>381</v>
      </c>
      <c r="F287" s="29" t="s">
        <v>8</v>
      </c>
      <c r="G287" s="29" t="s">
        <v>99</v>
      </c>
      <c r="H287" s="29" t="s">
        <v>55</v>
      </c>
      <c r="I287" s="29"/>
      <c r="J287" s="29">
        <v>1152</v>
      </c>
      <c r="K287" s="32" t="s">
        <v>55</v>
      </c>
      <c r="L287" s="32" t="str">
        <f>+$B$174</f>
        <v>172.29.12.69</v>
      </c>
      <c r="M287" s="32">
        <v>31152</v>
      </c>
      <c r="N287" s="32" t="str">
        <f>+$B$175</f>
        <v>172.29.12.68</v>
      </c>
      <c r="O287" s="32">
        <f>+M287+10000</f>
        <v>41152</v>
      </c>
      <c r="P287" s="32" t="s">
        <v>94</v>
      </c>
      <c r="Q287" s="49" t="s">
        <v>95</v>
      </c>
      <c r="R287" s="3" t="str">
        <f t="shared" ref="R287:R350" si="52">CONCATENATE(IF(A287&lt;&gt;"",CONCATENATE("""",A287,"""",":{","""","rules","""",":{"),""),"""",D287,""":{""type"":""con"",""src"":{""",M287,""":{""raddr"":""",L287,":0"",""mhdr"":""",K287,""",","""name""",":","""NODO-01","""},""",O287,""":{""raddr"":""",N287,":0"",""mhdr"":""",K287,""",","""name""",":","""NODO-02","""}},","""dst"":{""mode"":""",F287,""",""raddr"":""",IF(F287="server",G287,I287),":",IF(F287="server",0,J287),""",""",IF(F287="server","lport","mhdr"),""":""",IF(F287="server",J287,""),IF(F287="server"," ",""),K287,""",","""name""",":","""",B287,IF(P287&lt;&gt;"",CONCATENATE("""},","""plugin""",": {","""file""",":""",P287,""",","""type""",":","""","RM",""""),""""),Q287)</f>
        <v>"24":{"rules":{"1":{"type":"con","src":{"31152":{"raddr":"172.29.12.69:0","mhdr":"BHb2","name":"NODO-01"},"41152":{"raddr":"172.29.12.68:0","mhdr":"BHb2","name":"NODO-02"}},"dst":{"mode":"server","raddr":"172.16.27.253:0","lport":"1152 BHb2","name":"AV VILLAS IN 1"},"plugin": {"file":"slb_plugin_rm_biciso.so","type":"RM"}},</v>
      </c>
    </row>
    <row r="288" spans="1:18" ht="15" thickBot="1">
      <c r="A288" s="64"/>
      <c r="B288" s="16" t="s">
        <v>98</v>
      </c>
      <c r="C288" s="14" t="s">
        <v>497</v>
      </c>
      <c r="D288" s="17">
        <v>2</v>
      </c>
      <c r="E288" s="44" t="s">
        <v>382</v>
      </c>
      <c r="F288" s="17" t="s">
        <v>8</v>
      </c>
      <c r="G288" s="17" t="s">
        <v>99</v>
      </c>
      <c r="H288" s="17" t="s">
        <v>55</v>
      </c>
      <c r="I288" s="17"/>
      <c r="J288" s="17">
        <v>2152</v>
      </c>
      <c r="K288" s="35" t="s">
        <v>55</v>
      </c>
      <c r="L288" s="35" t="str">
        <f>+$B$174</f>
        <v>172.29.12.69</v>
      </c>
      <c r="M288" s="35">
        <v>32152</v>
      </c>
      <c r="N288" s="35" t="str">
        <f>+$B$175</f>
        <v>172.29.12.68</v>
      </c>
      <c r="O288" s="35">
        <f>+M288+10000</f>
        <v>42152</v>
      </c>
      <c r="P288" s="35" t="s">
        <v>94</v>
      </c>
      <c r="Q288" s="36" t="s">
        <v>96</v>
      </c>
      <c r="R288" s="3" t="str">
        <f t="shared" si="52"/>
        <v>"2":{"type":"con","src":{"32152":{"raddr":"172.29.12.69:0","mhdr":"BHb2","name":"NODO-01"},"42152":{"raddr":"172.29.12.68:0","mhdr":"BHb2","name":"NODO-02"}},"dst":{"mode":"server","raddr":"172.16.27.253:0","lport":"2152 BHb2","name":"AV VILLAS IN 2"},"plugin": {"file":"slb_plugin_rm_biciso.so","type":"RM"}}}},</v>
      </c>
    </row>
    <row r="289" spans="1:18">
      <c r="A289" s="74">
        <v>25</v>
      </c>
      <c r="B289" s="75" t="s">
        <v>1279</v>
      </c>
      <c r="C289" s="75" t="s">
        <v>497</v>
      </c>
      <c r="D289" s="73">
        <v>1</v>
      </c>
      <c r="E289" s="73" t="s">
        <v>379</v>
      </c>
      <c r="F289" s="73" t="s">
        <v>14</v>
      </c>
      <c r="G289" s="73"/>
      <c r="H289" s="73" t="s">
        <v>55</v>
      </c>
      <c r="I289" s="32" t="s">
        <v>2</v>
      </c>
      <c r="J289" s="73">
        <v>55999</v>
      </c>
      <c r="K289" s="32" t="s">
        <v>55</v>
      </c>
      <c r="L289" s="73" t="str">
        <f>+$B$174</f>
        <v>172.29.12.69</v>
      </c>
      <c r="M289" s="73">
        <v>35523</v>
      </c>
      <c r="N289" s="73" t="str">
        <f>+$B$175</f>
        <v>172.29.12.68</v>
      </c>
      <c r="O289" s="73">
        <v>45523</v>
      </c>
      <c r="P289" s="32" t="s">
        <v>94</v>
      </c>
      <c r="Q289" s="49" t="s">
        <v>95</v>
      </c>
      <c r="R289" s="81" t="str">
        <f>CONCATENATE(IF(A289&lt;&gt;"",CONCATENATE("""",A289,"""",":{","""","rules","""",":{"),""),"""",D289,""":{""type"":""con"",""src"":{""",M289,""":{""raddr"":""",L289,":0"",""mhdr"":""",K289,""",","""name""",":","""NODO-01-35523","""},""",O289,""":{""raddr"":""",N289,":0"",""mhdr"":""",K289,""",","""name""",":","""NODO-02-45523","""},""",M290,""":{""raddr"":""",L290,":0"",""mhdr"":""",K290,""",","""name""",":","""NODO-01-36623","""},""",O290,""":{""raddr"":""",N290,":0"",""mhdr"":""",K290,""",","""name""",":","""NODO-02-46623","""}},","""dst"":{""mode"":""",F289,""",""raddr"":""",IF(F289="server",G289,I289),":",IF(F289="server",0,J289),""",""",IF(F289="server","lport","mhdr"),""":""",IF(F289="server",J289,""),IF(F289="server"," ",""),K289,""",","""name""",":","""",B289,IF(P289&lt;&gt;"",CONCATENATE("""},","""plugin""",": {","""file""",":""",P289,""",","""type""",":","""","RM""",",","""args""",": {","""nodrop""",":","""n""","}")),Q289)</f>
        <v>"25":{"rules":{"1":{"type":"con","src":{"35523":{"raddr":"172.29.12.69:0","mhdr":"BHb2","name":"NODO-01-35523"},"45523":{"raddr":"172.29.12.68:0","mhdr":"BHb2","name":"NODO-02-45523"},"36623":{"raddr":"172.29.12.69:0","mhdr":"BHb2","name":"NODO-01-36623"},"46623":{"raddr":"172.29.12.68:0","mhdr":"BHb2","name":"NODO-02-46623"}},"dst":{"mode":"client","raddr":"172.29.12.67:55999","mhdr":"BHb2","name":"Occident DB Slb1"},"plugin": {"file":"slb_plugin_rm_biciso.so","type":"RM","args": {"nodrop":"n"}}},</v>
      </c>
    </row>
    <row r="290" spans="1:18">
      <c r="A290" s="69"/>
      <c r="B290" s="70"/>
      <c r="C290" s="70"/>
      <c r="D290" s="71"/>
      <c r="E290" s="71"/>
      <c r="F290" s="71"/>
      <c r="G290" s="71"/>
      <c r="H290" s="71"/>
      <c r="I290" s="33"/>
      <c r="J290" s="71"/>
      <c r="K290" s="33" t="s">
        <v>55</v>
      </c>
      <c r="L290" s="71" t="str">
        <f>+$B$174</f>
        <v>172.29.12.69</v>
      </c>
      <c r="M290" s="71">
        <v>36623</v>
      </c>
      <c r="N290" s="71" t="str">
        <f>+$B$175</f>
        <v>172.29.12.68</v>
      </c>
      <c r="O290" s="71">
        <v>46623</v>
      </c>
      <c r="P290" s="33"/>
      <c r="Q290" s="34"/>
      <c r="R290" s="81"/>
    </row>
    <row r="291" spans="1:18" ht="15" thickBot="1">
      <c r="A291" s="77"/>
      <c r="B291" s="78" t="s">
        <v>1280</v>
      </c>
      <c r="C291" s="78" t="s">
        <v>497</v>
      </c>
      <c r="D291" s="72">
        <v>2</v>
      </c>
      <c r="E291" s="72" t="s">
        <v>380</v>
      </c>
      <c r="F291" s="72" t="s">
        <v>8</v>
      </c>
      <c r="G291" s="35" t="s">
        <v>2</v>
      </c>
      <c r="H291" s="72" t="s">
        <v>55</v>
      </c>
      <c r="I291" s="72"/>
      <c r="J291" s="72">
        <v>55999</v>
      </c>
      <c r="K291" s="35" t="s">
        <v>55</v>
      </c>
      <c r="L291" s="72" t="s">
        <v>76</v>
      </c>
      <c r="M291" s="72">
        <v>5523</v>
      </c>
      <c r="N291" s="72" t="s">
        <v>76</v>
      </c>
      <c r="O291" s="72">
        <v>6623</v>
      </c>
      <c r="P291" s="35"/>
      <c r="Q291" s="36" t="s">
        <v>95</v>
      </c>
      <c r="R291" s="81" t="str">
        <f>CONCATENATE(IF(A291&lt;&gt;"",CONCATENATE("""",A291,"""",":{","""","rules","""",":{"),""),"""",D291,""":{""type"":""con"",""src"":{""",M291,""":{""raddr"":""",L291,":0"",""mhdr"":""",K291,""",","""name""",":","""OCCIDENTE-5523","""},""",O291,""":{""raddr"":""",N291,":0"",""mhdr"":""",K291,""",","""name""",":","""OCCIDENTE-6623","""}},","""dst"":{""mode"":""",F291,""",""raddr"":""",IF(F291="server",G291,I291),":",IF(F291="server",0,J291),""",""",IF(F291="server","lport","mhdr"),""":""",IF(F291="server",J291,""),IF(F291="server"," ",""),K291,""",","""name""",":","""",B291,IF(P291&lt;&gt;"",CONCATENATE("""},","""plugin""",": {","""file""",":""",P291,""",","""type""",":","""","RM",""""),""""),Q291)</f>
        <v>"2":{"type":"con","src":{"5523":{"raddr":"10.2.74.21:0","mhdr":"BHb2","name":"OCCIDENTE-5523"},"6623":{"raddr":"10.2.74.21:0","mhdr":"BHb2","name":"OCCIDENTE-6623"}},"dst":{"mode":"server","raddr":"172.29.12.67:0","lport":"55999 BHb2","name":"Occident DB Slb2"}},</v>
      </c>
    </row>
    <row r="292" spans="1:18">
      <c r="A292" s="74"/>
      <c r="B292" s="75" t="s">
        <v>1281</v>
      </c>
      <c r="C292" s="75" t="s">
        <v>497</v>
      </c>
      <c r="D292" s="73">
        <v>3</v>
      </c>
      <c r="E292" s="73" t="s">
        <v>1277</v>
      </c>
      <c r="F292" s="73" t="s">
        <v>14</v>
      </c>
      <c r="G292" s="73"/>
      <c r="H292" s="73" t="s">
        <v>55</v>
      </c>
      <c r="I292" s="32" t="s">
        <v>2</v>
      </c>
      <c r="J292" s="73">
        <v>55998</v>
      </c>
      <c r="K292" s="32" t="s">
        <v>55</v>
      </c>
      <c r="L292" s="73" t="str">
        <f>+$B$174</f>
        <v>172.29.12.69</v>
      </c>
      <c r="M292" s="73">
        <v>32723</v>
      </c>
      <c r="N292" s="73" t="str">
        <f>+$B$175</f>
        <v>172.29.12.68</v>
      </c>
      <c r="O292" s="73">
        <v>42723</v>
      </c>
      <c r="P292" s="32" t="s">
        <v>94</v>
      </c>
      <c r="Q292" s="49" t="s">
        <v>95</v>
      </c>
      <c r="R292" s="81" t="str">
        <f>CONCATENATE(IF(A292&lt;&gt;"",CONCATENATE("""",A292,"""",":{","""","rules","""",":{"),""),"""",D292,""":{""type"":""con"",""src"":{""",M292,""":{""raddr"":""",L292,":0"",""mhdr"":""",K292,""",","""name""",":","""NODO-01-32723","""},""",O292,""":{""raddr"":""",N292,":0"",""mhdr"":""",K292,""",","""name""",":","""NODO-02-42723","""},""",M293,""":{""raddr"":""",L293,":0"",""mhdr"":""",K293,""",","""name""",":","""NODO-01-33723","""},""",O293,""":{""raddr"":""",N293,":0"",""mhdr"":""",K293,""",","""name""",":","""NODO-02-43723","""}},","""dst"":{""mode"":""",F292,""",""raddr"":""",IF(F292="server",G292,I292),":",IF(F292="server",0,J292),""",""",IF(F292="server","lport","mhdr"),""":""",IF(F292="server",J292,""),IF(F292="server"," ",""),K292,""",","""name""",":","""",B292,IF(P292&lt;&gt;"",CONCATENATE("""},","""plugin""",": {","""file""",":""",P292,""",","""type""",":","""","RM""",",","""args""",": {","""nodrop""",":","""n""","}")),Q292)</f>
        <v>"3":{"type":"con","src":{"32723":{"raddr":"172.29.12.69:0","mhdr":"BHb2","name":"NODO-01-32723"},"42723":{"raddr":"172.29.12.68:0","mhdr":"BHb2","name":"NODO-02-42723"},"33723":{"raddr":"172.29.12.69:0","mhdr":"BHb2","name":"NODO-01-33723"},"43723":{"raddr":"172.29.12.68:0","mhdr":"BHb2","name":"NODO-02-43723"}},"dst":{"mode":"client","raddr":"172.29.12.67:55998","mhdr":"BHb2","name":"Occident CR Slb 1"},"plugin": {"file":"slb_plugin_rm_biciso.so","type":"RM","args": {"nodrop":"n"}}},</v>
      </c>
    </row>
    <row r="293" spans="1:18">
      <c r="A293" s="69"/>
      <c r="B293" s="70"/>
      <c r="C293" s="70"/>
      <c r="D293" s="71"/>
      <c r="E293" s="71"/>
      <c r="F293" s="71"/>
      <c r="G293" s="71"/>
      <c r="H293" s="71"/>
      <c r="I293" s="33"/>
      <c r="J293" s="71"/>
      <c r="K293" s="33" t="s">
        <v>55</v>
      </c>
      <c r="L293" s="71" t="str">
        <f>+$B$174</f>
        <v>172.29.12.69</v>
      </c>
      <c r="M293" s="71">
        <v>33723</v>
      </c>
      <c r="N293" s="71" t="str">
        <f>+$B$175</f>
        <v>172.29.12.68</v>
      </c>
      <c r="O293" s="71">
        <v>43723</v>
      </c>
      <c r="P293" s="33"/>
      <c r="Q293" s="34"/>
      <c r="R293" s="81"/>
    </row>
    <row r="294" spans="1:18" ht="15" thickBot="1">
      <c r="A294" s="77"/>
      <c r="B294" s="78" t="s">
        <v>1282</v>
      </c>
      <c r="C294" s="78" t="s">
        <v>497</v>
      </c>
      <c r="D294" s="72">
        <v>4</v>
      </c>
      <c r="E294" s="72" t="s">
        <v>1278</v>
      </c>
      <c r="F294" s="72" t="s">
        <v>8</v>
      </c>
      <c r="G294" s="35" t="s">
        <v>2</v>
      </c>
      <c r="H294" s="72" t="s">
        <v>55</v>
      </c>
      <c r="I294" s="72"/>
      <c r="J294" s="72">
        <v>55998</v>
      </c>
      <c r="K294" s="35" t="s">
        <v>55</v>
      </c>
      <c r="L294" s="72" t="s">
        <v>1283</v>
      </c>
      <c r="M294" s="72">
        <v>2723</v>
      </c>
      <c r="N294" s="72" t="s">
        <v>1283</v>
      </c>
      <c r="O294" s="72">
        <v>3723</v>
      </c>
      <c r="P294" s="35"/>
      <c r="Q294" s="36" t="s">
        <v>96</v>
      </c>
      <c r="R294" s="81" t="str">
        <f>CONCATENATE(IF(A294&lt;&gt;"",CONCATENATE("""",A294,"""",":{","""","rules","""",":{"),""),"""",D294,""":{""type"":""con"",""src"":{""",M294,""":{""raddr"":""",L294,":0"",""mhdr"":""",K294,""",","""name""",":","""OCCIDENTE-2723","""},""",O294,""":{""raddr"":""",N294,":0"",""mhdr"":""",K294,""",","""name""",":","""OCCIDENTE-3723","""}},","""dst"":{""mode"":""",F294,""",""raddr"":""",IF(F294="server",G294,I294),":",IF(F294="server",0,J294),""",""",IF(F294="server","lport","mhdr"),""":""",IF(F294="server",J294,""),IF(F294="server"," ",""),K294,""",","""name""",":","""",B294,IF(P294&lt;&gt;"",CONCATENATE("""},","""plugin""",": {","""file""",":""",P294,""",","""type""",":","""","RM",""""),""""),Q294)</f>
        <v>"4":{"type":"con","src":{"2723":{"raddr":"172.17.27.253:0","mhdr":"BHb2","name":"OCCIDENTE-2723"},"3723":{"raddr":"172.17.27.253:0","mhdr":"BHb2","name":"OCCIDENTE-3723"}},"dst":{"mode":"server","raddr":"172.29.12.67:0","lport":"55998 BHb2","name":"Occident CR Slb 2"}}}},</v>
      </c>
    </row>
    <row r="295" spans="1:18">
      <c r="A295" s="92">
        <v>26</v>
      </c>
      <c r="B295" s="23" t="s">
        <v>122</v>
      </c>
      <c r="C295" s="10" t="s">
        <v>497</v>
      </c>
      <c r="D295" s="29">
        <v>1</v>
      </c>
      <c r="E295" s="93" t="s">
        <v>397</v>
      </c>
      <c r="F295" s="29" t="s">
        <v>8</v>
      </c>
      <c r="G295" s="29" t="s">
        <v>125</v>
      </c>
      <c r="H295" s="29" t="s">
        <v>437</v>
      </c>
      <c r="I295" s="29"/>
      <c r="J295" s="29">
        <v>5505</v>
      </c>
      <c r="K295" s="32" t="s">
        <v>437</v>
      </c>
      <c r="L295" s="32" t="str">
        <f t="shared" ref="L295:L326" si="53">+$B$174</f>
        <v>172.29.12.69</v>
      </c>
      <c r="M295" s="32">
        <v>35505</v>
      </c>
      <c r="N295" s="32" t="str">
        <f t="shared" si="22"/>
        <v>172.29.12.68</v>
      </c>
      <c r="O295" s="32">
        <f t="shared" ref="O295:O299" si="54">+M295+10000</f>
        <v>45505</v>
      </c>
      <c r="P295" s="32" t="s">
        <v>94</v>
      </c>
      <c r="Q295" s="49" t="s">
        <v>95</v>
      </c>
      <c r="R295" s="3" t="str">
        <f t="shared" si="52"/>
        <v>"26":{"rules":{"1":{"type":"con","src":{"35505":{"raddr":"172.29.12.69:0","mhdr":"iBHb2","name":"NODO-01"},"45505":{"raddr":"172.29.12.68:0","mhdr":"iBHb2","name":"NODO-02"}},"dst":{"mode":"server","raddr":"10.2.3.132:0","lport":"5505 iBHb2","name":"Bancolombia MC 1"},"plugin": {"file":"slb_plugin_rm_biciso.so","type":"RM"}},</v>
      </c>
    </row>
    <row r="296" spans="1:18">
      <c r="A296" s="63"/>
      <c r="B296" s="7" t="s">
        <v>123</v>
      </c>
      <c r="C296" s="2" t="s">
        <v>497</v>
      </c>
      <c r="D296" s="8">
        <v>2</v>
      </c>
      <c r="E296" s="43" t="s">
        <v>396</v>
      </c>
      <c r="F296" s="8" t="s">
        <v>8</v>
      </c>
      <c r="G296" s="8" t="s">
        <v>125</v>
      </c>
      <c r="H296" s="8" t="s">
        <v>437</v>
      </c>
      <c r="I296" s="8"/>
      <c r="J296" s="8">
        <v>5405</v>
      </c>
      <c r="K296" s="33" t="s">
        <v>437</v>
      </c>
      <c r="L296" s="33" t="str">
        <f t="shared" si="53"/>
        <v>172.29.12.69</v>
      </c>
      <c r="M296" s="33">
        <v>35405</v>
      </c>
      <c r="N296" s="33" t="str">
        <f t="shared" si="22"/>
        <v>172.29.12.68</v>
      </c>
      <c r="O296" s="33">
        <f t="shared" si="54"/>
        <v>45405</v>
      </c>
      <c r="P296" s="33" t="s">
        <v>94</v>
      </c>
      <c r="Q296" s="34" t="s">
        <v>95</v>
      </c>
      <c r="R296" s="3" t="str">
        <f t="shared" si="52"/>
        <v>"2":{"type":"con","src":{"35405":{"raddr":"172.29.12.69:0","mhdr":"iBHb2","name":"NODO-01"},"45405":{"raddr":"172.29.12.68:0","mhdr":"iBHb2","name":"NODO-02"}},"dst":{"mode":"server","raddr":"10.2.3.132:0","lport":"5405 iBHb2","name":"Bancolombia MC 2"},"plugin": {"file":"slb_plugin_rm_biciso.so","type":"RM"}},</v>
      </c>
    </row>
    <row r="297" spans="1:18" ht="15" thickBot="1">
      <c r="A297" s="64"/>
      <c r="B297" s="16" t="s">
        <v>124</v>
      </c>
      <c r="C297" s="14" t="s">
        <v>497</v>
      </c>
      <c r="D297" s="17">
        <v>3</v>
      </c>
      <c r="E297" s="44" t="s">
        <v>398</v>
      </c>
      <c r="F297" s="17" t="s">
        <v>8</v>
      </c>
      <c r="G297" s="17" t="s">
        <v>125</v>
      </c>
      <c r="H297" s="17" t="s">
        <v>437</v>
      </c>
      <c r="I297" s="17"/>
      <c r="J297" s="17">
        <v>5605</v>
      </c>
      <c r="K297" s="35" t="s">
        <v>437</v>
      </c>
      <c r="L297" s="35" t="str">
        <f t="shared" si="53"/>
        <v>172.29.12.69</v>
      </c>
      <c r="M297" s="35">
        <v>35605</v>
      </c>
      <c r="N297" s="35" t="str">
        <f t="shared" si="22"/>
        <v>172.29.12.68</v>
      </c>
      <c r="O297" s="35">
        <f t="shared" si="54"/>
        <v>45605</v>
      </c>
      <c r="P297" s="35" t="s">
        <v>94</v>
      </c>
      <c r="Q297" s="36" t="s">
        <v>96</v>
      </c>
      <c r="R297" s="3" t="str">
        <f t="shared" si="52"/>
        <v>"3":{"type":"con","src":{"35605":{"raddr":"172.29.12.69:0","mhdr":"iBHb2","name":"NODO-01"},"45605":{"raddr":"172.29.12.68:0","mhdr":"iBHb2","name":"NODO-02"}},"dst":{"mode":"server","raddr":"10.2.3.132:0","lport":"5605 iBHb2","name":"Bancolombia MC 3"},"plugin": {"file":"slb_plugin_rm_biciso.so","type":"RM"}}}},</v>
      </c>
    </row>
    <row r="298" spans="1:18">
      <c r="A298" s="92">
        <v>27</v>
      </c>
      <c r="B298" s="23" t="s">
        <v>200</v>
      </c>
      <c r="C298" s="23" t="s">
        <v>497</v>
      </c>
      <c r="D298" s="29">
        <v>1</v>
      </c>
      <c r="E298" s="93" t="s">
        <v>507</v>
      </c>
      <c r="F298" s="29" t="s">
        <v>8</v>
      </c>
      <c r="G298" s="96" t="s">
        <v>208</v>
      </c>
      <c r="H298" s="29" t="s">
        <v>55</v>
      </c>
      <c r="I298" s="29"/>
      <c r="J298" s="29">
        <v>2017</v>
      </c>
      <c r="K298" s="32" t="s">
        <v>55</v>
      </c>
      <c r="L298" s="32" t="str">
        <f t="shared" si="53"/>
        <v>172.29.12.69</v>
      </c>
      <c r="M298" s="32">
        <v>32017</v>
      </c>
      <c r="N298" s="32" t="str">
        <f t="shared" si="22"/>
        <v>172.29.12.68</v>
      </c>
      <c r="O298" s="32">
        <f t="shared" si="54"/>
        <v>42017</v>
      </c>
      <c r="P298" s="32" t="s">
        <v>94</v>
      </c>
      <c r="Q298" s="49" t="s">
        <v>95</v>
      </c>
      <c r="R298" s="3" t="str">
        <f t="shared" si="52"/>
        <v>"27":{"rules":{"1":{"type":"con","src":{"32017":{"raddr":"172.29.12.69:0","mhdr":"BHb2","name":"NODO-01"},"42017":{"raddr":"172.29.12.68:0","mhdr":"BHb2","name":"NODO-02"}},"dst":{"mode":"server","raddr":"0.0.0.0:0","lport":"2017 BHb2","name":"BUS QR In 1"},"plugin": {"file":"slb_plugin_rm_biciso.so","type":"RM"}},</v>
      </c>
    </row>
    <row r="299" spans="1:18">
      <c r="A299" s="63"/>
      <c r="B299" s="7" t="s">
        <v>201</v>
      </c>
      <c r="C299" s="7" t="s">
        <v>497</v>
      </c>
      <c r="D299" s="8">
        <v>2</v>
      </c>
      <c r="E299" s="43" t="s">
        <v>508</v>
      </c>
      <c r="F299" s="8" t="s">
        <v>8</v>
      </c>
      <c r="G299" s="86" t="s">
        <v>208</v>
      </c>
      <c r="H299" s="8" t="s">
        <v>55</v>
      </c>
      <c r="I299" s="8"/>
      <c r="J299" s="8">
        <v>3017</v>
      </c>
      <c r="K299" s="33" t="s">
        <v>55</v>
      </c>
      <c r="L299" s="33" t="str">
        <f t="shared" si="53"/>
        <v>172.29.12.69</v>
      </c>
      <c r="M299" s="33">
        <v>33017</v>
      </c>
      <c r="N299" s="33" t="str">
        <f t="shared" si="22"/>
        <v>172.29.12.68</v>
      </c>
      <c r="O299" s="33">
        <f t="shared" si="54"/>
        <v>43017</v>
      </c>
      <c r="P299" s="33" t="s">
        <v>94</v>
      </c>
      <c r="Q299" s="34" t="s">
        <v>95</v>
      </c>
      <c r="R299" s="3" t="str">
        <f t="shared" si="52"/>
        <v>"2":{"type":"con","src":{"33017":{"raddr":"172.29.12.69:0","mhdr":"BHb2","name":"NODO-01"},"43017":{"raddr":"172.29.12.68:0","mhdr":"BHb2","name":"NODO-02"}},"dst":{"mode":"server","raddr":"0.0.0.0:0","lport":"3017 BHb2","name":"BUS QR In 2"},"plugin": {"file":"slb_plugin_rm_biciso.so","type":"RM"}},</v>
      </c>
    </row>
    <row r="300" spans="1:18">
      <c r="A300" s="63"/>
      <c r="B300" s="7" t="s">
        <v>202</v>
      </c>
      <c r="C300" s="7" t="s">
        <v>497</v>
      </c>
      <c r="D300" s="8">
        <v>3</v>
      </c>
      <c r="E300" s="43" t="s">
        <v>509</v>
      </c>
      <c r="F300" s="8" t="s">
        <v>14</v>
      </c>
      <c r="G300" s="8"/>
      <c r="H300" s="8" t="s">
        <v>55</v>
      </c>
      <c r="I300" s="8" t="s">
        <v>13</v>
      </c>
      <c r="J300" s="8">
        <v>2017</v>
      </c>
      <c r="K300" s="33" t="s">
        <v>55</v>
      </c>
      <c r="L300" s="33" t="str">
        <f t="shared" si="53"/>
        <v>172.29.12.69</v>
      </c>
      <c r="M300" s="33">
        <v>52017</v>
      </c>
      <c r="N300" s="33" t="str">
        <f t="shared" si="22"/>
        <v>172.29.12.68</v>
      </c>
      <c r="O300" s="33">
        <f>+M300-30000</f>
        <v>22017</v>
      </c>
      <c r="P300" s="33" t="s">
        <v>94</v>
      </c>
      <c r="Q300" s="34" t="s">
        <v>95</v>
      </c>
      <c r="R300" s="3" t="str">
        <f t="shared" si="52"/>
        <v>"3":{"type":"con","src":{"52017":{"raddr":"172.29.12.69:0","mhdr":"BHb2","name":"NODO-01"},"22017":{"raddr":"172.29.12.68:0","mhdr":"BHb2","name":"NODO-02"}},"dst":{"mode":"client","raddr":"172.19.207.40:2017","mhdr":"BHb2","name":"B24 QR Out 1"},"plugin": {"file":"slb_plugin_rm_biciso.so","type":"RM"}},</v>
      </c>
    </row>
    <row r="301" spans="1:18" ht="15" thickBot="1">
      <c r="A301" s="64"/>
      <c r="B301" s="16" t="s">
        <v>203</v>
      </c>
      <c r="C301" s="16" t="s">
        <v>497</v>
      </c>
      <c r="D301" s="17">
        <v>4</v>
      </c>
      <c r="E301" s="44" t="s">
        <v>510</v>
      </c>
      <c r="F301" s="17" t="s">
        <v>14</v>
      </c>
      <c r="G301" s="17"/>
      <c r="H301" s="17" t="s">
        <v>55</v>
      </c>
      <c r="I301" s="17" t="s">
        <v>13</v>
      </c>
      <c r="J301" s="17">
        <v>3017</v>
      </c>
      <c r="K301" s="35" t="s">
        <v>55</v>
      </c>
      <c r="L301" s="35" t="str">
        <f t="shared" si="53"/>
        <v>172.29.12.69</v>
      </c>
      <c r="M301" s="35">
        <v>53017</v>
      </c>
      <c r="N301" s="35" t="str">
        <f t="shared" si="22"/>
        <v>172.29.12.68</v>
      </c>
      <c r="O301" s="35">
        <f>+M301-30000</f>
        <v>23017</v>
      </c>
      <c r="P301" s="35" t="s">
        <v>94</v>
      </c>
      <c r="Q301" s="36" t="s">
        <v>96</v>
      </c>
      <c r="R301" s="3" t="str">
        <f t="shared" si="52"/>
        <v>"4":{"type":"con","src":{"53017":{"raddr":"172.29.12.69:0","mhdr":"BHb2","name":"NODO-01"},"23017":{"raddr":"172.29.12.68:0","mhdr":"BHb2","name":"NODO-02"}},"dst":{"mode":"client","raddr":"172.19.207.40:3017","mhdr":"BHb2","name":"B24 QR Out 2"},"plugin": {"file":"slb_plugin_rm_biciso.so","type":"RM"}}}},</v>
      </c>
    </row>
    <row r="302" spans="1:18">
      <c r="A302" s="92">
        <v>28</v>
      </c>
      <c r="B302" s="10" t="s">
        <v>401</v>
      </c>
      <c r="C302" s="10" t="s">
        <v>497</v>
      </c>
      <c r="D302" s="11">
        <v>1</v>
      </c>
      <c r="E302" s="11">
        <v>10151</v>
      </c>
      <c r="F302" s="11" t="s">
        <v>14</v>
      </c>
      <c r="G302" s="29"/>
      <c r="H302" s="11" t="s">
        <v>437</v>
      </c>
      <c r="I302" s="29" t="s">
        <v>389</v>
      </c>
      <c r="J302" s="11">
        <v>5551</v>
      </c>
      <c r="K302" s="32" t="s">
        <v>437</v>
      </c>
      <c r="L302" s="32" t="str">
        <f t="shared" si="53"/>
        <v>172.29.12.69</v>
      </c>
      <c r="M302" s="32" t="str">
        <f>CONCATENATE(3,J302)</f>
        <v>35551</v>
      </c>
      <c r="N302" s="32" t="str">
        <f t="shared" si="22"/>
        <v>172.29.12.68</v>
      </c>
      <c r="O302" s="32">
        <f>+M302+10000</f>
        <v>45551</v>
      </c>
      <c r="P302" s="32" t="s">
        <v>94</v>
      </c>
      <c r="Q302" s="49" t="s">
        <v>95</v>
      </c>
      <c r="R302" s="3" t="str">
        <f t="shared" si="52"/>
        <v>"28":{"rules":{"1":{"type":"con","src":{"35551":{"raddr":"172.29.12.69:0","mhdr":"iBHb2","name":"NODO-01"},"45551":{"raddr":"172.29.12.68:0","mhdr":"iBHb2","name":"NODO-02"}},"dst":{"mode":"client","raddr":"172.26.38.18:5551","mhdr":"iBHb2","name":"Base24-POS-01"},"plugin": {"file":"slb_plugin_rm_biciso.so","type":"RM"}},</v>
      </c>
    </row>
    <row r="303" spans="1:18">
      <c r="A303" s="63"/>
      <c r="B303" s="2" t="s">
        <v>402</v>
      </c>
      <c r="C303" s="2" t="s">
        <v>497</v>
      </c>
      <c r="D303" s="6">
        <v>2</v>
      </c>
      <c r="E303" s="6">
        <v>10152</v>
      </c>
      <c r="F303" s="6" t="s">
        <v>14</v>
      </c>
      <c r="G303" s="8"/>
      <c r="H303" s="6" t="s">
        <v>437</v>
      </c>
      <c r="I303" s="8" t="s">
        <v>389</v>
      </c>
      <c r="J303" s="6">
        <v>5552</v>
      </c>
      <c r="K303" s="33" t="s">
        <v>437</v>
      </c>
      <c r="L303" s="33" t="str">
        <f t="shared" si="53"/>
        <v>172.29.12.69</v>
      </c>
      <c r="M303" s="33" t="str">
        <f t="shared" ref="M303:M337" si="55">CONCATENATE(3,J303)</f>
        <v>35552</v>
      </c>
      <c r="N303" s="33" t="str">
        <f t="shared" si="22"/>
        <v>172.29.12.68</v>
      </c>
      <c r="O303" s="33">
        <f t="shared" ref="O303:O349" si="56">+M303+10000</f>
        <v>45552</v>
      </c>
      <c r="P303" s="33" t="s">
        <v>94</v>
      </c>
      <c r="Q303" s="34" t="s">
        <v>95</v>
      </c>
      <c r="R303" s="3" t="str">
        <f t="shared" si="52"/>
        <v>"2":{"type":"con","src":{"35552":{"raddr":"172.29.12.69:0","mhdr":"iBHb2","name":"NODO-01"},"45552":{"raddr":"172.29.12.68:0","mhdr":"iBHb2","name":"NODO-02"}},"dst":{"mode":"client","raddr":"172.26.38.18:5552","mhdr":"iBHb2","name":"Base24-POS-02"},"plugin": {"file":"slb_plugin_rm_biciso.so","type":"RM"}},</v>
      </c>
    </row>
    <row r="304" spans="1:18">
      <c r="A304" s="63"/>
      <c r="B304" s="2" t="s">
        <v>403</v>
      </c>
      <c r="C304" s="2" t="s">
        <v>497</v>
      </c>
      <c r="D304" s="6">
        <v>3</v>
      </c>
      <c r="E304" s="6">
        <v>10153</v>
      </c>
      <c r="F304" s="6" t="s">
        <v>14</v>
      </c>
      <c r="G304" s="8"/>
      <c r="H304" s="6" t="s">
        <v>437</v>
      </c>
      <c r="I304" s="8" t="s">
        <v>389</v>
      </c>
      <c r="J304" s="6">
        <v>5553</v>
      </c>
      <c r="K304" s="33" t="s">
        <v>437</v>
      </c>
      <c r="L304" s="33" t="str">
        <f t="shared" si="53"/>
        <v>172.29.12.69</v>
      </c>
      <c r="M304" s="33" t="str">
        <f t="shared" si="55"/>
        <v>35553</v>
      </c>
      <c r="N304" s="33" t="str">
        <f t="shared" si="22"/>
        <v>172.29.12.68</v>
      </c>
      <c r="O304" s="33">
        <f t="shared" si="56"/>
        <v>45553</v>
      </c>
      <c r="P304" s="33" t="s">
        <v>94</v>
      </c>
      <c r="Q304" s="34" t="s">
        <v>95</v>
      </c>
      <c r="R304" s="3" t="str">
        <f t="shared" si="52"/>
        <v>"3":{"type":"con","src":{"35553":{"raddr":"172.29.12.69:0","mhdr":"iBHb2","name":"NODO-01"},"45553":{"raddr":"172.29.12.68:0","mhdr":"iBHb2","name":"NODO-02"}},"dst":{"mode":"client","raddr":"172.26.38.18:5553","mhdr":"iBHb2","name":"Base24-POS-03"},"plugin": {"file":"slb_plugin_rm_biciso.so","type":"RM"}},</v>
      </c>
    </row>
    <row r="305" spans="1:18">
      <c r="A305" s="63"/>
      <c r="B305" s="2" t="s">
        <v>404</v>
      </c>
      <c r="C305" s="2" t="s">
        <v>497</v>
      </c>
      <c r="D305" s="6">
        <v>4</v>
      </c>
      <c r="E305" s="6">
        <v>10154</v>
      </c>
      <c r="F305" s="6" t="s">
        <v>14</v>
      </c>
      <c r="G305" s="8"/>
      <c r="H305" s="6" t="s">
        <v>437</v>
      </c>
      <c r="I305" s="8" t="s">
        <v>389</v>
      </c>
      <c r="J305" s="6">
        <v>5554</v>
      </c>
      <c r="K305" s="33" t="s">
        <v>437</v>
      </c>
      <c r="L305" s="33" t="str">
        <f t="shared" si="53"/>
        <v>172.29.12.69</v>
      </c>
      <c r="M305" s="33" t="str">
        <f t="shared" si="55"/>
        <v>35554</v>
      </c>
      <c r="N305" s="33" t="str">
        <f t="shared" si="22"/>
        <v>172.29.12.68</v>
      </c>
      <c r="O305" s="33">
        <f t="shared" si="56"/>
        <v>45554</v>
      </c>
      <c r="P305" s="33" t="s">
        <v>94</v>
      </c>
      <c r="Q305" s="34" t="s">
        <v>95</v>
      </c>
      <c r="R305" s="3" t="str">
        <f t="shared" si="52"/>
        <v>"4":{"type":"con","src":{"35554":{"raddr":"172.29.12.69:0","mhdr":"iBHb2","name":"NODO-01"},"45554":{"raddr":"172.29.12.68:0","mhdr":"iBHb2","name":"NODO-02"}},"dst":{"mode":"client","raddr":"172.26.38.18:5554","mhdr":"iBHb2","name":"Base24-POS-04"},"plugin": {"file":"slb_plugin_rm_biciso.so","type":"RM"}},</v>
      </c>
    </row>
    <row r="306" spans="1:18">
      <c r="A306" s="63"/>
      <c r="B306" s="2" t="s">
        <v>405</v>
      </c>
      <c r="C306" s="2" t="s">
        <v>497</v>
      </c>
      <c r="D306" s="6">
        <v>5</v>
      </c>
      <c r="E306" s="6">
        <v>10155</v>
      </c>
      <c r="F306" s="6" t="s">
        <v>14</v>
      </c>
      <c r="G306" s="8"/>
      <c r="H306" s="6" t="s">
        <v>437</v>
      </c>
      <c r="I306" s="8" t="s">
        <v>389</v>
      </c>
      <c r="J306" s="6">
        <v>5555</v>
      </c>
      <c r="K306" s="33" t="s">
        <v>437</v>
      </c>
      <c r="L306" s="33" t="str">
        <f t="shared" si="53"/>
        <v>172.29.12.69</v>
      </c>
      <c r="M306" s="33" t="str">
        <f t="shared" si="55"/>
        <v>35555</v>
      </c>
      <c r="N306" s="33" t="str">
        <f t="shared" si="22"/>
        <v>172.29.12.68</v>
      </c>
      <c r="O306" s="33">
        <f t="shared" si="56"/>
        <v>45555</v>
      </c>
      <c r="P306" s="33" t="s">
        <v>94</v>
      </c>
      <c r="Q306" s="34" t="s">
        <v>95</v>
      </c>
      <c r="R306" s="3" t="str">
        <f t="shared" si="52"/>
        <v>"5":{"type":"con","src":{"35555":{"raddr":"172.29.12.69:0","mhdr":"iBHb2","name":"NODO-01"},"45555":{"raddr":"172.29.12.68:0","mhdr":"iBHb2","name":"NODO-02"}},"dst":{"mode":"client","raddr":"172.26.38.18:5555","mhdr":"iBHb2","name":"Base24-POS-05"},"plugin": {"file":"slb_plugin_rm_biciso.so","type":"RM"}},</v>
      </c>
    </row>
    <row r="307" spans="1:18" ht="15" thickBot="1">
      <c r="A307" s="64"/>
      <c r="B307" s="14" t="s">
        <v>406</v>
      </c>
      <c r="C307" s="14" t="s">
        <v>497</v>
      </c>
      <c r="D307" s="15">
        <v>6</v>
      </c>
      <c r="E307" s="15">
        <v>10156</v>
      </c>
      <c r="F307" s="15" t="s">
        <v>14</v>
      </c>
      <c r="G307" s="17"/>
      <c r="H307" s="15" t="s">
        <v>437</v>
      </c>
      <c r="I307" s="17" t="s">
        <v>389</v>
      </c>
      <c r="J307" s="15">
        <v>5556</v>
      </c>
      <c r="K307" s="35" t="s">
        <v>437</v>
      </c>
      <c r="L307" s="35" t="str">
        <f t="shared" si="53"/>
        <v>172.29.12.69</v>
      </c>
      <c r="M307" s="35" t="str">
        <f t="shared" si="55"/>
        <v>35556</v>
      </c>
      <c r="N307" s="35" t="str">
        <f t="shared" si="22"/>
        <v>172.29.12.68</v>
      </c>
      <c r="O307" s="35">
        <f t="shared" si="56"/>
        <v>45556</v>
      </c>
      <c r="P307" s="35" t="s">
        <v>94</v>
      </c>
      <c r="Q307" s="36" t="s">
        <v>96</v>
      </c>
      <c r="R307" s="3" t="str">
        <f t="shared" si="52"/>
        <v>"6":{"type":"con","src":{"35556":{"raddr":"172.29.12.69:0","mhdr":"iBHb2","name":"NODO-01"},"45556":{"raddr":"172.29.12.68:0","mhdr":"iBHb2","name":"NODO-02"}},"dst":{"mode":"client","raddr":"172.26.38.18:5556","mhdr":"iBHb2","name":"Base24-POS-06"},"plugin": {"file":"slb_plugin_rm_biciso.so","type":"RM"}}}},</v>
      </c>
    </row>
    <row r="308" spans="1:18">
      <c r="A308" s="92">
        <v>29</v>
      </c>
      <c r="B308" s="10" t="s">
        <v>407</v>
      </c>
      <c r="C308" s="10" t="s">
        <v>497</v>
      </c>
      <c r="D308" s="11">
        <v>1</v>
      </c>
      <c r="E308" s="11">
        <v>10157</v>
      </c>
      <c r="F308" s="11" t="s">
        <v>14</v>
      </c>
      <c r="G308" s="29"/>
      <c r="H308" s="11" t="s">
        <v>437</v>
      </c>
      <c r="I308" s="29" t="s">
        <v>389</v>
      </c>
      <c r="J308" s="11">
        <v>5557</v>
      </c>
      <c r="K308" s="32" t="s">
        <v>437</v>
      </c>
      <c r="L308" s="32" t="str">
        <f t="shared" si="53"/>
        <v>172.29.12.69</v>
      </c>
      <c r="M308" s="32" t="str">
        <f t="shared" si="55"/>
        <v>35557</v>
      </c>
      <c r="N308" s="32" t="str">
        <f t="shared" si="22"/>
        <v>172.29.12.68</v>
      </c>
      <c r="O308" s="32">
        <f t="shared" si="56"/>
        <v>45557</v>
      </c>
      <c r="P308" s="32" t="s">
        <v>94</v>
      </c>
      <c r="Q308" s="49" t="s">
        <v>95</v>
      </c>
      <c r="R308" s="3" t="str">
        <f t="shared" si="52"/>
        <v>"29":{"rules":{"1":{"type":"con","src":{"35557":{"raddr":"172.29.12.69:0","mhdr":"iBHb2","name":"NODO-01"},"45557":{"raddr":"172.29.12.68:0","mhdr":"iBHb2","name":"NODO-02"}},"dst":{"mode":"client","raddr":"172.26.38.18:5557","mhdr":"iBHb2","name":"Base24-POS-07"},"plugin": {"file":"slb_plugin_rm_biciso.so","type":"RM"}},</v>
      </c>
    </row>
    <row r="309" spans="1:18">
      <c r="A309" s="63"/>
      <c r="B309" s="2" t="s">
        <v>408</v>
      </c>
      <c r="C309" s="2" t="s">
        <v>497</v>
      </c>
      <c r="D309" s="6">
        <v>2</v>
      </c>
      <c r="E309" s="6">
        <v>10158</v>
      </c>
      <c r="F309" s="6" t="s">
        <v>14</v>
      </c>
      <c r="G309" s="8"/>
      <c r="H309" s="6" t="s">
        <v>437</v>
      </c>
      <c r="I309" s="8" t="s">
        <v>389</v>
      </c>
      <c r="J309" s="6">
        <v>5558</v>
      </c>
      <c r="K309" s="33" t="s">
        <v>437</v>
      </c>
      <c r="L309" s="33" t="str">
        <f t="shared" si="53"/>
        <v>172.29.12.69</v>
      </c>
      <c r="M309" s="33" t="str">
        <f t="shared" si="55"/>
        <v>35558</v>
      </c>
      <c r="N309" s="33" t="str">
        <f t="shared" si="22"/>
        <v>172.29.12.68</v>
      </c>
      <c r="O309" s="33">
        <f t="shared" si="56"/>
        <v>45558</v>
      </c>
      <c r="P309" s="33" t="s">
        <v>94</v>
      </c>
      <c r="Q309" s="34" t="s">
        <v>95</v>
      </c>
      <c r="R309" s="3" t="str">
        <f t="shared" si="52"/>
        <v>"2":{"type":"con","src":{"35558":{"raddr":"172.29.12.69:0","mhdr":"iBHb2","name":"NODO-01"},"45558":{"raddr":"172.29.12.68:0","mhdr":"iBHb2","name":"NODO-02"}},"dst":{"mode":"client","raddr":"172.26.38.18:5558","mhdr":"iBHb2","name":"Base24-POS-08"},"plugin": {"file":"slb_plugin_rm_biciso.so","type":"RM"}},</v>
      </c>
    </row>
    <row r="310" spans="1:18">
      <c r="A310" s="63"/>
      <c r="B310" s="2" t="s">
        <v>409</v>
      </c>
      <c r="C310" s="2" t="s">
        <v>497</v>
      </c>
      <c r="D310" s="6">
        <v>3</v>
      </c>
      <c r="E310" s="6">
        <v>10159</v>
      </c>
      <c r="F310" s="6" t="s">
        <v>14</v>
      </c>
      <c r="G310" s="8"/>
      <c r="H310" s="6" t="s">
        <v>437</v>
      </c>
      <c r="I310" s="8" t="s">
        <v>389</v>
      </c>
      <c r="J310" s="6">
        <v>5559</v>
      </c>
      <c r="K310" s="33" t="s">
        <v>437</v>
      </c>
      <c r="L310" s="33" t="str">
        <f t="shared" si="53"/>
        <v>172.29.12.69</v>
      </c>
      <c r="M310" s="33" t="str">
        <f t="shared" si="55"/>
        <v>35559</v>
      </c>
      <c r="N310" s="33" t="str">
        <f t="shared" si="22"/>
        <v>172.29.12.68</v>
      </c>
      <c r="O310" s="33">
        <f t="shared" si="56"/>
        <v>45559</v>
      </c>
      <c r="P310" s="33" t="s">
        <v>94</v>
      </c>
      <c r="Q310" s="34" t="s">
        <v>95</v>
      </c>
      <c r="R310" s="3" t="str">
        <f t="shared" si="52"/>
        <v>"3":{"type":"con","src":{"35559":{"raddr":"172.29.12.69:0","mhdr":"iBHb2","name":"NODO-01"},"45559":{"raddr":"172.29.12.68:0","mhdr":"iBHb2","name":"NODO-02"}},"dst":{"mode":"client","raddr":"172.26.38.18:5559","mhdr":"iBHb2","name":"Base24-POS-09"},"plugin": {"file":"slb_plugin_rm_biciso.so","type":"RM"}},</v>
      </c>
    </row>
    <row r="311" spans="1:18">
      <c r="A311" s="63"/>
      <c r="B311" s="2" t="s">
        <v>410</v>
      </c>
      <c r="C311" s="2" t="s">
        <v>497</v>
      </c>
      <c r="D311" s="6">
        <v>4</v>
      </c>
      <c r="E311" s="6">
        <v>10160</v>
      </c>
      <c r="F311" s="6" t="s">
        <v>14</v>
      </c>
      <c r="G311" s="8"/>
      <c r="H311" s="6" t="s">
        <v>437</v>
      </c>
      <c r="I311" s="8" t="s">
        <v>389</v>
      </c>
      <c r="J311" s="6">
        <v>5560</v>
      </c>
      <c r="K311" s="33" t="s">
        <v>437</v>
      </c>
      <c r="L311" s="33" t="str">
        <f t="shared" si="53"/>
        <v>172.29.12.69</v>
      </c>
      <c r="M311" s="33" t="str">
        <f t="shared" si="55"/>
        <v>35560</v>
      </c>
      <c r="N311" s="33" t="str">
        <f t="shared" si="22"/>
        <v>172.29.12.68</v>
      </c>
      <c r="O311" s="33">
        <f t="shared" si="56"/>
        <v>45560</v>
      </c>
      <c r="P311" s="33" t="s">
        <v>94</v>
      </c>
      <c r="Q311" s="34" t="s">
        <v>95</v>
      </c>
      <c r="R311" s="3" t="str">
        <f t="shared" si="52"/>
        <v>"4":{"type":"con","src":{"35560":{"raddr":"172.29.12.69:0","mhdr":"iBHb2","name":"NODO-01"},"45560":{"raddr":"172.29.12.68:0","mhdr":"iBHb2","name":"NODO-02"}},"dst":{"mode":"client","raddr":"172.26.38.18:5560","mhdr":"iBHb2","name":"Base24-POS-10"},"plugin": {"file":"slb_plugin_rm_biciso.so","type":"RM"}},</v>
      </c>
    </row>
    <row r="312" spans="1:18">
      <c r="A312" s="63"/>
      <c r="B312" s="2" t="s">
        <v>411</v>
      </c>
      <c r="C312" s="2" t="s">
        <v>497</v>
      </c>
      <c r="D312" s="6">
        <v>5</v>
      </c>
      <c r="E312" s="6">
        <v>10161</v>
      </c>
      <c r="F312" s="6" t="s">
        <v>14</v>
      </c>
      <c r="G312" s="8"/>
      <c r="H312" s="6" t="s">
        <v>437</v>
      </c>
      <c r="I312" s="8" t="s">
        <v>389</v>
      </c>
      <c r="J312" s="6">
        <v>5561</v>
      </c>
      <c r="K312" s="33" t="s">
        <v>437</v>
      </c>
      <c r="L312" s="33" t="str">
        <f t="shared" si="53"/>
        <v>172.29.12.69</v>
      </c>
      <c r="M312" s="33" t="str">
        <f t="shared" si="55"/>
        <v>35561</v>
      </c>
      <c r="N312" s="33" t="str">
        <f t="shared" si="22"/>
        <v>172.29.12.68</v>
      </c>
      <c r="O312" s="33">
        <f t="shared" si="56"/>
        <v>45561</v>
      </c>
      <c r="P312" s="33" t="s">
        <v>94</v>
      </c>
      <c r="Q312" s="34" t="s">
        <v>95</v>
      </c>
      <c r="R312" s="3" t="str">
        <f t="shared" si="52"/>
        <v>"5":{"type":"con","src":{"35561":{"raddr":"172.29.12.69:0","mhdr":"iBHb2","name":"NODO-01"},"45561":{"raddr":"172.29.12.68:0","mhdr":"iBHb2","name":"NODO-02"}},"dst":{"mode":"client","raddr":"172.26.38.18:5561","mhdr":"iBHb2","name":"Base24-POS-11"},"plugin": {"file":"slb_plugin_rm_biciso.so","type":"RM"}},</v>
      </c>
    </row>
    <row r="313" spans="1:18" ht="15" thickBot="1">
      <c r="A313" s="64"/>
      <c r="B313" s="14" t="s">
        <v>412</v>
      </c>
      <c r="C313" s="14" t="s">
        <v>497</v>
      </c>
      <c r="D313" s="15">
        <v>6</v>
      </c>
      <c r="E313" s="15">
        <v>10162</v>
      </c>
      <c r="F313" s="15" t="s">
        <v>14</v>
      </c>
      <c r="G313" s="17"/>
      <c r="H313" s="15" t="s">
        <v>437</v>
      </c>
      <c r="I313" s="17" t="s">
        <v>389</v>
      </c>
      <c r="J313" s="15">
        <v>5562</v>
      </c>
      <c r="K313" s="35" t="s">
        <v>437</v>
      </c>
      <c r="L313" s="35" t="str">
        <f t="shared" si="53"/>
        <v>172.29.12.69</v>
      </c>
      <c r="M313" s="35" t="str">
        <f t="shared" si="55"/>
        <v>35562</v>
      </c>
      <c r="N313" s="35" t="str">
        <f t="shared" si="22"/>
        <v>172.29.12.68</v>
      </c>
      <c r="O313" s="35">
        <f t="shared" si="56"/>
        <v>45562</v>
      </c>
      <c r="P313" s="35" t="s">
        <v>94</v>
      </c>
      <c r="Q313" s="36" t="s">
        <v>96</v>
      </c>
      <c r="R313" s="3" t="str">
        <f t="shared" si="52"/>
        <v>"6":{"type":"con","src":{"35562":{"raddr":"172.29.12.69:0","mhdr":"iBHb2","name":"NODO-01"},"45562":{"raddr":"172.29.12.68:0","mhdr":"iBHb2","name":"NODO-02"}},"dst":{"mode":"client","raddr":"172.26.38.18:5562","mhdr":"iBHb2","name":"Base24-POS-12"},"plugin": {"file":"slb_plugin_rm_biciso.so","type":"RM"}}}},</v>
      </c>
    </row>
    <row r="314" spans="1:18">
      <c r="A314" s="92">
        <v>30</v>
      </c>
      <c r="B314" s="10" t="s">
        <v>413</v>
      </c>
      <c r="C314" s="10" t="s">
        <v>497</v>
      </c>
      <c r="D314" s="11">
        <v>1</v>
      </c>
      <c r="E314" s="11">
        <v>10163</v>
      </c>
      <c r="F314" s="11" t="s">
        <v>14</v>
      </c>
      <c r="G314" s="29"/>
      <c r="H314" s="11" t="s">
        <v>437</v>
      </c>
      <c r="I314" s="29" t="s">
        <v>389</v>
      </c>
      <c r="J314" s="11">
        <v>5563</v>
      </c>
      <c r="K314" s="32" t="s">
        <v>437</v>
      </c>
      <c r="L314" s="32" t="str">
        <f t="shared" si="53"/>
        <v>172.29.12.69</v>
      </c>
      <c r="M314" s="32" t="str">
        <f t="shared" si="55"/>
        <v>35563</v>
      </c>
      <c r="N314" s="32" t="str">
        <f t="shared" si="22"/>
        <v>172.29.12.68</v>
      </c>
      <c r="O314" s="32">
        <f t="shared" si="56"/>
        <v>45563</v>
      </c>
      <c r="P314" s="32" t="s">
        <v>94</v>
      </c>
      <c r="Q314" s="49" t="s">
        <v>95</v>
      </c>
      <c r="R314" s="3" t="str">
        <f t="shared" si="52"/>
        <v>"30":{"rules":{"1":{"type":"con","src":{"35563":{"raddr":"172.29.12.69:0","mhdr":"iBHb2","name":"NODO-01"},"45563":{"raddr":"172.29.12.68:0","mhdr":"iBHb2","name":"NODO-02"}},"dst":{"mode":"client","raddr":"172.26.38.18:5563","mhdr":"iBHb2","name":"Base24-POS-13"},"plugin": {"file":"slb_plugin_rm_biciso.so","type":"RM"}},</v>
      </c>
    </row>
    <row r="315" spans="1:18">
      <c r="A315" s="63"/>
      <c r="B315" s="2" t="s">
        <v>414</v>
      </c>
      <c r="C315" s="2" t="s">
        <v>497</v>
      </c>
      <c r="D315" s="6">
        <v>2</v>
      </c>
      <c r="E315" s="6">
        <v>10164</v>
      </c>
      <c r="F315" s="6" t="s">
        <v>14</v>
      </c>
      <c r="G315" s="8"/>
      <c r="H315" s="6" t="s">
        <v>437</v>
      </c>
      <c r="I315" s="8" t="s">
        <v>389</v>
      </c>
      <c r="J315" s="6">
        <v>5564</v>
      </c>
      <c r="K315" s="33" t="s">
        <v>437</v>
      </c>
      <c r="L315" s="33" t="str">
        <f t="shared" si="53"/>
        <v>172.29.12.69</v>
      </c>
      <c r="M315" s="33" t="str">
        <f t="shared" si="55"/>
        <v>35564</v>
      </c>
      <c r="N315" s="33" t="str">
        <f t="shared" si="22"/>
        <v>172.29.12.68</v>
      </c>
      <c r="O315" s="33">
        <f t="shared" si="56"/>
        <v>45564</v>
      </c>
      <c r="P315" s="33" t="s">
        <v>94</v>
      </c>
      <c r="Q315" s="34" t="s">
        <v>95</v>
      </c>
      <c r="R315" s="3" t="str">
        <f t="shared" si="52"/>
        <v>"2":{"type":"con","src":{"35564":{"raddr":"172.29.12.69:0","mhdr":"iBHb2","name":"NODO-01"},"45564":{"raddr":"172.29.12.68:0","mhdr":"iBHb2","name":"NODO-02"}},"dst":{"mode":"client","raddr":"172.26.38.18:5564","mhdr":"iBHb2","name":"Base24-POS-14"},"plugin": {"file":"slb_plugin_rm_biciso.so","type":"RM"}},</v>
      </c>
    </row>
    <row r="316" spans="1:18">
      <c r="A316" s="63"/>
      <c r="B316" s="2" t="s">
        <v>415</v>
      </c>
      <c r="C316" s="2" t="s">
        <v>497</v>
      </c>
      <c r="D316" s="6">
        <v>3</v>
      </c>
      <c r="E316" s="6">
        <v>10165</v>
      </c>
      <c r="F316" s="6" t="s">
        <v>14</v>
      </c>
      <c r="G316" s="8"/>
      <c r="H316" s="6" t="s">
        <v>437</v>
      </c>
      <c r="I316" s="8" t="s">
        <v>389</v>
      </c>
      <c r="J316" s="6">
        <v>5565</v>
      </c>
      <c r="K316" s="33" t="s">
        <v>437</v>
      </c>
      <c r="L316" s="33" t="str">
        <f t="shared" si="53"/>
        <v>172.29.12.69</v>
      </c>
      <c r="M316" s="33" t="str">
        <f t="shared" si="55"/>
        <v>35565</v>
      </c>
      <c r="N316" s="33" t="str">
        <f t="shared" si="22"/>
        <v>172.29.12.68</v>
      </c>
      <c r="O316" s="33">
        <f t="shared" si="56"/>
        <v>45565</v>
      </c>
      <c r="P316" s="33" t="s">
        <v>94</v>
      </c>
      <c r="Q316" s="34" t="s">
        <v>95</v>
      </c>
      <c r="R316" s="3" t="str">
        <f t="shared" si="52"/>
        <v>"3":{"type":"con","src":{"35565":{"raddr":"172.29.12.69:0","mhdr":"iBHb2","name":"NODO-01"},"45565":{"raddr":"172.29.12.68:0","mhdr":"iBHb2","name":"NODO-02"}},"dst":{"mode":"client","raddr":"172.26.38.18:5565","mhdr":"iBHb2","name":"Base24-POS-15"},"plugin": {"file":"slb_plugin_rm_biciso.so","type":"RM"}},</v>
      </c>
    </row>
    <row r="317" spans="1:18">
      <c r="A317" s="63"/>
      <c r="B317" s="2" t="s">
        <v>416</v>
      </c>
      <c r="C317" s="2" t="s">
        <v>497</v>
      </c>
      <c r="D317" s="6">
        <v>4</v>
      </c>
      <c r="E317" s="6">
        <v>10166</v>
      </c>
      <c r="F317" s="6" t="s">
        <v>14</v>
      </c>
      <c r="G317" s="8"/>
      <c r="H317" s="6" t="s">
        <v>437</v>
      </c>
      <c r="I317" s="8" t="s">
        <v>389</v>
      </c>
      <c r="J317" s="6">
        <v>5566</v>
      </c>
      <c r="K317" s="33" t="s">
        <v>437</v>
      </c>
      <c r="L317" s="33" t="str">
        <f t="shared" si="53"/>
        <v>172.29.12.69</v>
      </c>
      <c r="M317" s="33" t="str">
        <f t="shared" si="55"/>
        <v>35566</v>
      </c>
      <c r="N317" s="33" t="str">
        <f t="shared" si="22"/>
        <v>172.29.12.68</v>
      </c>
      <c r="O317" s="33">
        <f t="shared" si="56"/>
        <v>45566</v>
      </c>
      <c r="P317" s="33" t="s">
        <v>94</v>
      </c>
      <c r="Q317" s="34" t="s">
        <v>95</v>
      </c>
      <c r="R317" s="3" t="str">
        <f t="shared" si="52"/>
        <v>"4":{"type":"con","src":{"35566":{"raddr":"172.29.12.69:0","mhdr":"iBHb2","name":"NODO-01"},"45566":{"raddr":"172.29.12.68:0","mhdr":"iBHb2","name":"NODO-02"}},"dst":{"mode":"client","raddr":"172.26.38.18:5566","mhdr":"iBHb2","name":"Base24-POS-16"},"plugin": {"file":"slb_plugin_rm_biciso.so","type":"RM"}},</v>
      </c>
    </row>
    <row r="318" spans="1:18">
      <c r="A318" s="63"/>
      <c r="B318" s="2" t="s">
        <v>417</v>
      </c>
      <c r="C318" s="2" t="s">
        <v>497</v>
      </c>
      <c r="D318" s="6">
        <v>5</v>
      </c>
      <c r="E318" s="6">
        <v>10167</v>
      </c>
      <c r="F318" s="6" t="s">
        <v>14</v>
      </c>
      <c r="G318" s="8"/>
      <c r="H318" s="6" t="s">
        <v>437</v>
      </c>
      <c r="I318" s="8" t="s">
        <v>389</v>
      </c>
      <c r="J318" s="6">
        <v>5567</v>
      </c>
      <c r="K318" s="33" t="s">
        <v>437</v>
      </c>
      <c r="L318" s="33" t="str">
        <f t="shared" si="53"/>
        <v>172.29.12.69</v>
      </c>
      <c r="M318" s="33" t="str">
        <f t="shared" si="55"/>
        <v>35567</v>
      </c>
      <c r="N318" s="33" t="str">
        <f t="shared" si="22"/>
        <v>172.29.12.68</v>
      </c>
      <c r="O318" s="33">
        <f t="shared" si="56"/>
        <v>45567</v>
      </c>
      <c r="P318" s="33" t="s">
        <v>94</v>
      </c>
      <c r="Q318" s="34" t="s">
        <v>95</v>
      </c>
      <c r="R318" s="3" t="str">
        <f t="shared" si="52"/>
        <v>"5":{"type":"con","src":{"35567":{"raddr":"172.29.12.69:0","mhdr":"iBHb2","name":"NODO-01"},"45567":{"raddr":"172.29.12.68:0","mhdr":"iBHb2","name":"NODO-02"}},"dst":{"mode":"client","raddr":"172.26.38.18:5567","mhdr":"iBHb2","name":"Base24-POS-17"},"plugin": {"file":"slb_plugin_rm_biciso.so","type":"RM"}},</v>
      </c>
    </row>
    <row r="319" spans="1:18" ht="15" thickBot="1">
      <c r="A319" s="64"/>
      <c r="B319" s="14" t="s">
        <v>418</v>
      </c>
      <c r="C319" s="14" t="s">
        <v>497</v>
      </c>
      <c r="D319" s="15">
        <v>6</v>
      </c>
      <c r="E319" s="15">
        <v>10168</v>
      </c>
      <c r="F319" s="15" t="s">
        <v>14</v>
      </c>
      <c r="G319" s="17"/>
      <c r="H319" s="15" t="s">
        <v>437</v>
      </c>
      <c r="I319" s="17" t="s">
        <v>389</v>
      </c>
      <c r="J319" s="15">
        <v>5568</v>
      </c>
      <c r="K319" s="35" t="s">
        <v>437</v>
      </c>
      <c r="L319" s="35" t="str">
        <f t="shared" si="53"/>
        <v>172.29.12.69</v>
      </c>
      <c r="M319" s="35" t="str">
        <f t="shared" si="55"/>
        <v>35568</v>
      </c>
      <c r="N319" s="35" t="str">
        <f t="shared" si="22"/>
        <v>172.29.12.68</v>
      </c>
      <c r="O319" s="35">
        <f t="shared" si="56"/>
        <v>45568</v>
      </c>
      <c r="P319" s="35" t="s">
        <v>94</v>
      </c>
      <c r="Q319" s="36" t="s">
        <v>96</v>
      </c>
      <c r="R319" s="3" t="str">
        <f t="shared" si="52"/>
        <v>"6":{"type":"con","src":{"35568":{"raddr":"172.29.12.69:0","mhdr":"iBHb2","name":"NODO-01"},"45568":{"raddr":"172.29.12.68:0","mhdr":"iBHb2","name":"NODO-02"}},"dst":{"mode":"client","raddr":"172.26.38.18:5568","mhdr":"iBHb2","name":"Base24-POS-18"},"plugin": {"file":"slb_plugin_rm_biciso.so","type":"RM"}}}},</v>
      </c>
    </row>
    <row r="320" spans="1:18">
      <c r="A320" s="92">
        <v>31</v>
      </c>
      <c r="B320" s="10" t="s">
        <v>419</v>
      </c>
      <c r="C320" s="10" t="s">
        <v>497</v>
      </c>
      <c r="D320" s="11">
        <v>1</v>
      </c>
      <c r="E320" s="11">
        <v>10169</v>
      </c>
      <c r="F320" s="11" t="s">
        <v>14</v>
      </c>
      <c r="G320" s="29"/>
      <c r="H320" s="11" t="s">
        <v>437</v>
      </c>
      <c r="I320" s="29" t="s">
        <v>389</v>
      </c>
      <c r="J320" s="11">
        <v>5569</v>
      </c>
      <c r="K320" s="32" t="s">
        <v>437</v>
      </c>
      <c r="L320" s="32" t="str">
        <f t="shared" si="53"/>
        <v>172.29.12.69</v>
      </c>
      <c r="M320" s="32" t="str">
        <f t="shared" si="55"/>
        <v>35569</v>
      </c>
      <c r="N320" s="32" t="str">
        <f t="shared" si="22"/>
        <v>172.29.12.68</v>
      </c>
      <c r="O320" s="32">
        <f t="shared" si="56"/>
        <v>45569</v>
      </c>
      <c r="P320" s="32" t="s">
        <v>94</v>
      </c>
      <c r="Q320" s="49" t="s">
        <v>95</v>
      </c>
      <c r="R320" s="3" t="str">
        <f t="shared" si="52"/>
        <v>"31":{"rules":{"1":{"type":"con","src":{"35569":{"raddr":"172.29.12.69:0","mhdr":"iBHb2","name":"NODO-01"},"45569":{"raddr":"172.29.12.68:0","mhdr":"iBHb2","name":"NODO-02"}},"dst":{"mode":"client","raddr":"172.26.38.18:5569","mhdr":"iBHb2","name":"Base24-POS-19"},"plugin": {"file":"slb_plugin_rm_biciso.so","type":"RM"}},</v>
      </c>
    </row>
    <row r="321" spans="1:18">
      <c r="A321" s="63"/>
      <c r="B321" s="2" t="s">
        <v>420</v>
      </c>
      <c r="C321" s="2" t="s">
        <v>497</v>
      </c>
      <c r="D321" s="6">
        <v>2</v>
      </c>
      <c r="E321" s="6">
        <v>10170</v>
      </c>
      <c r="F321" s="6" t="s">
        <v>14</v>
      </c>
      <c r="G321" s="8"/>
      <c r="H321" s="6" t="s">
        <v>437</v>
      </c>
      <c r="I321" s="8" t="s">
        <v>389</v>
      </c>
      <c r="J321" s="6">
        <v>5570</v>
      </c>
      <c r="K321" s="33" t="s">
        <v>437</v>
      </c>
      <c r="L321" s="33" t="str">
        <f t="shared" si="53"/>
        <v>172.29.12.69</v>
      </c>
      <c r="M321" s="33" t="str">
        <f t="shared" si="55"/>
        <v>35570</v>
      </c>
      <c r="N321" s="33" t="str">
        <f t="shared" si="22"/>
        <v>172.29.12.68</v>
      </c>
      <c r="O321" s="33">
        <f t="shared" si="56"/>
        <v>45570</v>
      </c>
      <c r="P321" s="33" t="s">
        <v>94</v>
      </c>
      <c r="Q321" s="34" t="s">
        <v>95</v>
      </c>
      <c r="R321" s="3" t="str">
        <f t="shared" si="52"/>
        <v>"2":{"type":"con","src":{"35570":{"raddr":"172.29.12.69:0","mhdr":"iBHb2","name":"NODO-01"},"45570":{"raddr":"172.29.12.68:0","mhdr":"iBHb2","name":"NODO-02"}},"dst":{"mode":"client","raddr":"172.26.38.18:5570","mhdr":"iBHb2","name":"Base24-POS-20"},"plugin": {"file":"slb_plugin_rm_biciso.so","type":"RM"}},</v>
      </c>
    </row>
    <row r="322" spans="1:18">
      <c r="A322" s="63"/>
      <c r="B322" s="2" t="s">
        <v>421</v>
      </c>
      <c r="C322" s="2" t="s">
        <v>497</v>
      </c>
      <c r="D322" s="6">
        <v>3</v>
      </c>
      <c r="E322" s="6">
        <v>10171</v>
      </c>
      <c r="F322" s="6" t="s">
        <v>14</v>
      </c>
      <c r="G322" s="8"/>
      <c r="H322" s="6" t="s">
        <v>437</v>
      </c>
      <c r="I322" s="8" t="s">
        <v>389</v>
      </c>
      <c r="J322" s="6">
        <v>5571</v>
      </c>
      <c r="K322" s="33" t="s">
        <v>437</v>
      </c>
      <c r="L322" s="33" t="str">
        <f t="shared" si="53"/>
        <v>172.29.12.69</v>
      </c>
      <c r="M322" s="33" t="str">
        <f t="shared" si="55"/>
        <v>35571</v>
      </c>
      <c r="N322" s="33" t="str">
        <f t="shared" si="22"/>
        <v>172.29.12.68</v>
      </c>
      <c r="O322" s="33">
        <f t="shared" si="56"/>
        <v>45571</v>
      </c>
      <c r="P322" s="33" t="s">
        <v>94</v>
      </c>
      <c r="Q322" s="34" t="s">
        <v>95</v>
      </c>
      <c r="R322" s="3" t="str">
        <f t="shared" si="52"/>
        <v>"3":{"type":"con","src":{"35571":{"raddr":"172.29.12.69:0","mhdr":"iBHb2","name":"NODO-01"},"45571":{"raddr":"172.29.12.68:0","mhdr":"iBHb2","name":"NODO-02"}},"dst":{"mode":"client","raddr":"172.26.38.18:5571","mhdr":"iBHb2","name":"Base24-POS-21"},"plugin": {"file":"slb_plugin_rm_biciso.so","type":"RM"}},</v>
      </c>
    </row>
    <row r="323" spans="1:18">
      <c r="A323" s="63"/>
      <c r="B323" s="2" t="s">
        <v>422</v>
      </c>
      <c r="C323" s="2" t="s">
        <v>497</v>
      </c>
      <c r="D323" s="6">
        <v>4</v>
      </c>
      <c r="E323" s="6">
        <v>10172</v>
      </c>
      <c r="F323" s="6" t="s">
        <v>14</v>
      </c>
      <c r="G323" s="8"/>
      <c r="H323" s="6" t="s">
        <v>437</v>
      </c>
      <c r="I323" s="8" t="s">
        <v>389</v>
      </c>
      <c r="J323" s="6">
        <v>5572</v>
      </c>
      <c r="K323" s="33" t="s">
        <v>437</v>
      </c>
      <c r="L323" s="33" t="str">
        <f t="shared" si="53"/>
        <v>172.29.12.69</v>
      </c>
      <c r="M323" s="33" t="str">
        <f t="shared" si="55"/>
        <v>35572</v>
      </c>
      <c r="N323" s="33" t="str">
        <f t="shared" si="22"/>
        <v>172.29.12.68</v>
      </c>
      <c r="O323" s="33">
        <f t="shared" si="56"/>
        <v>45572</v>
      </c>
      <c r="P323" s="33" t="s">
        <v>94</v>
      </c>
      <c r="Q323" s="34" t="s">
        <v>95</v>
      </c>
      <c r="R323" s="3" t="str">
        <f t="shared" si="52"/>
        <v>"4":{"type":"con","src":{"35572":{"raddr":"172.29.12.69:0","mhdr":"iBHb2","name":"NODO-01"},"45572":{"raddr":"172.29.12.68:0","mhdr":"iBHb2","name":"NODO-02"}},"dst":{"mode":"client","raddr":"172.26.38.18:5572","mhdr":"iBHb2","name":"Base24-POS-22"},"plugin": {"file":"slb_plugin_rm_biciso.so","type":"RM"}},</v>
      </c>
    </row>
    <row r="324" spans="1:18">
      <c r="A324" s="63"/>
      <c r="B324" s="2" t="s">
        <v>423</v>
      </c>
      <c r="C324" s="2" t="s">
        <v>497</v>
      </c>
      <c r="D324" s="6">
        <v>5</v>
      </c>
      <c r="E324" s="6">
        <v>10173</v>
      </c>
      <c r="F324" s="6" t="s">
        <v>14</v>
      </c>
      <c r="G324" s="8"/>
      <c r="H324" s="6" t="s">
        <v>437</v>
      </c>
      <c r="I324" s="8" t="s">
        <v>389</v>
      </c>
      <c r="J324" s="6">
        <v>5573</v>
      </c>
      <c r="K324" s="33" t="s">
        <v>437</v>
      </c>
      <c r="L324" s="33" t="str">
        <f t="shared" si="53"/>
        <v>172.29.12.69</v>
      </c>
      <c r="M324" s="33" t="str">
        <f t="shared" si="55"/>
        <v>35573</v>
      </c>
      <c r="N324" s="33" t="str">
        <f t="shared" si="22"/>
        <v>172.29.12.68</v>
      </c>
      <c r="O324" s="33">
        <f t="shared" si="56"/>
        <v>45573</v>
      </c>
      <c r="P324" s="33" t="s">
        <v>94</v>
      </c>
      <c r="Q324" s="34" t="s">
        <v>95</v>
      </c>
      <c r="R324" s="3" t="str">
        <f t="shared" si="52"/>
        <v>"5":{"type":"con","src":{"35573":{"raddr":"172.29.12.69:0","mhdr":"iBHb2","name":"NODO-01"},"45573":{"raddr":"172.29.12.68:0","mhdr":"iBHb2","name":"NODO-02"}},"dst":{"mode":"client","raddr":"172.26.38.18:5573","mhdr":"iBHb2","name":"Base24-POS-23"},"plugin": {"file":"slb_plugin_rm_biciso.so","type":"RM"}},</v>
      </c>
    </row>
    <row r="325" spans="1:18" ht="15" thickBot="1">
      <c r="A325" s="64"/>
      <c r="B325" s="14" t="s">
        <v>424</v>
      </c>
      <c r="C325" s="14" t="s">
        <v>497</v>
      </c>
      <c r="D325" s="15">
        <v>6</v>
      </c>
      <c r="E325" s="15">
        <v>10174</v>
      </c>
      <c r="F325" s="15" t="s">
        <v>14</v>
      </c>
      <c r="G325" s="17"/>
      <c r="H325" s="15" t="s">
        <v>437</v>
      </c>
      <c r="I325" s="17" t="s">
        <v>389</v>
      </c>
      <c r="J325" s="15">
        <v>5574</v>
      </c>
      <c r="K325" s="35" t="s">
        <v>437</v>
      </c>
      <c r="L325" s="35" t="str">
        <f t="shared" si="53"/>
        <v>172.29.12.69</v>
      </c>
      <c r="M325" s="35" t="str">
        <f t="shared" si="55"/>
        <v>35574</v>
      </c>
      <c r="N325" s="35" t="str">
        <f t="shared" si="22"/>
        <v>172.29.12.68</v>
      </c>
      <c r="O325" s="35">
        <f t="shared" si="56"/>
        <v>45574</v>
      </c>
      <c r="P325" s="35" t="s">
        <v>94</v>
      </c>
      <c r="Q325" s="36" t="s">
        <v>96</v>
      </c>
      <c r="R325" s="3" t="str">
        <f t="shared" si="52"/>
        <v>"6":{"type":"con","src":{"35574":{"raddr":"172.29.12.69:0","mhdr":"iBHb2","name":"NODO-01"},"45574":{"raddr":"172.29.12.68:0","mhdr":"iBHb2","name":"NODO-02"}},"dst":{"mode":"client","raddr":"172.26.38.18:5574","mhdr":"iBHb2","name":"Base24-POS-24"},"plugin": {"file":"slb_plugin_rm_biciso.so","type":"RM"}}}},</v>
      </c>
    </row>
    <row r="326" spans="1:18">
      <c r="A326" s="92">
        <v>32</v>
      </c>
      <c r="B326" s="10" t="s">
        <v>425</v>
      </c>
      <c r="C326" s="10" t="s">
        <v>497</v>
      </c>
      <c r="D326" s="11">
        <v>1</v>
      </c>
      <c r="E326" s="11">
        <v>10175</v>
      </c>
      <c r="F326" s="11" t="s">
        <v>14</v>
      </c>
      <c r="G326" s="29"/>
      <c r="H326" s="11" t="s">
        <v>437</v>
      </c>
      <c r="I326" s="29" t="s">
        <v>389</v>
      </c>
      <c r="J326" s="11">
        <v>5575</v>
      </c>
      <c r="K326" s="32" t="s">
        <v>437</v>
      </c>
      <c r="L326" s="32" t="str">
        <f t="shared" si="53"/>
        <v>172.29.12.69</v>
      </c>
      <c r="M326" s="32" t="str">
        <f t="shared" si="55"/>
        <v>35575</v>
      </c>
      <c r="N326" s="32" t="str">
        <f t="shared" si="22"/>
        <v>172.29.12.68</v>
      </c>
      <c r="O326" s="32">
        <f t="shared" si="56"/>
        <v>45575</v>
      </c>
      <c r="P326" s="32" t="s">
        <v>94</v>
      </c>
      <c r="Q326" s="49" t="s">
        <v>95</v>
      </c>
      <c r="R326" s="3" t="str">
        <f t="shared" si="52"/>
        <v>"32":{"rules":{"1":{"type":"con","src":{"35575":{"raddr":"172.29.12.69:0","mhdr":"iBHb2","name":"NODO-01"},"45575":{"raddr":"172.29.12.68:0","mhdr":"iBHb2","name":"NODO-02"}},"dst":{"mode":"client","raddr":"172.26.38.18:5575","mhdr":"iBHb2","name":"Base24-POS-25"},"plugin": {"file":"slb_plugin_rm_biciso.so","type":"RM"}},</v>
      </c>
    </row>
    <row r="327" spans="1:18">
      <c r="A327" s="63"/>
      <c r="B327" s="2" t="s">
        <v>426</v>
      </c>
      <c r="C327" s="2" t="s">
        <v>497</v>
      </c>
      <c r="D327" s="6">
        <v>2</v>
      </c>
      <c r="E327" s="6">
        <v>10176</v>
      </c>
      <c r="F327" s="6" t="s">
        <v>14</v>
      </c>
      <c r="G327" s="8"/>
      <c r="H327" s="6" t="s">
        <v>437</v>
      </c>
      <c r="I327" s="8" t="s">
        <v>389</v>
      </c>
      <c r="J327" s="6">
        <v>5576</v>
      </c>
      <c r="K327" s="33" t="s">
        <v>437</v>
      </c>
      <c r="L327" s="33" t="str">
        <f t="shared" ref="L327:L344" si="57">+$B$174</f>
        <v>172.29.12.69</v>
      </c>
      <c r="M327" s="33" t="str">
        <f t="shared" si="55"/>
        <v>35576</v>
      </c>
      <c r="N327" s="33" t="str">
        <f t="shared" si="22"/>
        <v>172.29.12.68</v>
      </c>
      <c r="O327" s="33">
        <f t="shared" si="56"/>
        <v>45576</v>
      </c>
      <c r="P327" s="33" t="s">
        <v>94</v>
      </c>
      <c r="Q327" s="34" t="s">
        <v>95</v>
      </c>
      <c r="R327" s="3" t="str">
        <f t="shared" si="52"/>
        <v>"2":{"type":"con","src":{"35576":{"raddr":"172.29.12.69:0","mhdr":"iBHb2","name":"NODO-01"},"45576":{"raddr":"172.29.12.68:0","mhdr":"iBHb2","name":"NODO-02"}},"dst":{"mode":"client","raddr":"172.26.38.18:5576","mhdr":"iBHb2","name":"Base24-POS-26"},"plugin": {"file":"slb_plugin_rm_biciso.so","type":"RM"}},</v>
      </c>
    </row>
    <row r="328" spans="1:18">
      <c r="A328" s="63"/>
      <c r="B328" s="2" t="s">
        <v>427</v>
      </c>
      <c r="C328" s="2" t="s">
        <v>497</v>
      </c>
      <c r="D328" s="6">
        <v>3</v>
      </c>
      <c r="E328" s="6">
        <v>10177</v>
      </c>
      <c r="F328" s="6" t="s">
        <v>14</v>
      </c>
      <c r="G328" s="8"/>
      <c r="H328" s="6" t="s">
        <v>437</v>
      </c>
      <c r="I328" s="8" t="s">
        <v>389</v>
      </c>
      <c r="J328" s="6">
        <v>5577</v>
      </c>
      <c r="K328" s="33" t="s">
        <v>437</v>
      </c>
      <c r="L328" s="33" t="str">
        <f t="shared" si="57"/>
        <v>172.29.12.69</v>
      </c>
      <c r="M328" s="33" t="str">
        <f t="shared" si="55"/>
        <v>35577</v>
      </c>
      <c r="N328" s="33" t="str">
        <f t="shared" si="22"/>
        <v>172.29.12.68</v>
      </c>
      <c r="O328" s="33">
        <f t="shared" si="56"/>
        <v>45577</v>
      </c>
      <c r="P328" s="33" t="s">
        <v>94</v>
      </c>
      <c r="Q328" s="34" t="s">
        <v>95</v>
      </c>
      <c r="R328" s="3" t="str">
        <f t="shared" si="52"/>
        <v>"3":{"type":"con","src":{"35577":{"raddr":"172.29.12.69:0","mhdr":"iBHb2","name":"NODO-01"},"45577":{"raddr":"172.29.12.68:0","mhdr":"iBHb2","name":"NODO-02"}},"dst":{"mode":"client","raddr":"172.26.38.18:5577","mhdr":"iBHb2","name":"Base24-POS-27"},"plugin": {"file":"slb_plugin_rm_biciso.so","type":"RM"}},</v>
      </c>
    </row>
    <row r="329" spans="1:18">
      <c r="A329" s="63"/>
      <c r="B329" s="2" t="s">
        <v>428</v>
      </c>
      <c r="C329" s="2" t="s">
        <v>497</v>
      </c>
      <c r="D329" s="6">
        <v>4</v>
      </c>
      <c r="E329" s="6">
        <v>10178</v>
      </c>
      <c r="F329" s="6" t="s">
        <v>14</v>
      </c>
      <c r="G329" s="8"/>
      <c r="H329" s="6" t="s">
        <v>437</v>
      </c>
      <c r="I329" s="8" t="s">
        <v>389</v>
      </c>
      <c r="J329" s="6">
        <v>5578</v>
      </c>
      <c r="K329" s="33" t="s">
        <v>437</v>
      </c>
      <c r="L329" s="33" t="str">
        <f t="shared" si="57"/>
        <v>172.29.12.69</v>
      </c>
      <c r="M329" s="33" t="str">
        <f t="shared" si="55"/>
        <v>35578</v>
      </c>
      <c r="N329" s="33" t="str">
        <f t="shared" si="22"/>
        <v>172.29.12.68</v>
      </c>
      <c r="O329" s="33">
        <f t="shared" si="56"/>
        <v>45578</v>
      </c>
      <c r="P329" s="33" t="s">
        <v>94</v>
      </c>
      <c r="Q329" s="34" t="s">
        <v>95</v>
      </c>
      <c r="R329" s="3" t="str">
        <f t="shared" si="52"/>
        <v>"4":{"type":"con","src":{"35578":{"raddr":"172.29.12.69:0","mhdr":"iBHb2","name":"NODO-01"},"45578":{"raddr":"172.29.12.68:0","mhdr":"iBHb2","name":"NODO-02"}},"dst":{"mode":"client","raddr":"172.26.38.18:5578","mhdr":"iBHb2","name":"Base24-POS-28"},"plugin": {"file":"slb_plugin_rm_biciso.so","type":"RM"}},</v>
      </c>
    </row>
    <row r="330" spans="1:18">
      <c r="A330" s="63"/>
      <c r="B330" s="2" t="s">
        <v>429</v>
      </c>
      <c r="C330" s="2" t="s">
        <v>497</v>
      </c>
      <c r="D330" s="6">
        <v>5</v>
      </c>
      <c r="E330" s="6">
        <v>10179</v>
      </c>
      <c r="F330" s="6" t="s">
        <v>14</v>
      </c>
      <c r="G330" s="8"/>
      <c r="H330" s="6" t="s">
        <v>437</v>
      </c>
      <c r="I330" s="8" t="s">
        <v>389</v>
      </c>
      <c r="J330" s="6">
        <v>5579</v>
      </c>
      <c r="K330" s="33" t="s">
        <v>437</v>
      </c>
      <c r="L330" s="33" t="str">
        <f t="shared" si="57"/>
        <v>172.29.12.69</v>
      </c>
      <c r="M330" s="33" t="str">
        <f t="shared" si="55"/>
        <v>35579</v>
      </c>
      <c r="N330" s="33" t="str">
        <f t="shared" si="22"/>
        <v>172.29.12.68</v>
      </c>
      <c r="O330" s="33">
        <f t="shared" si="56"/>
        <v>45579</v>
      </c>
      <c r="P330" s="33" t="s">
        <v>94</v>
      </c>
      <c r="Q330" s="34" t="s">
        <v>95</v>
      </c>
      <c r="R330" s="3" t="str">
        <f t="shared" si="52"/>
        <v>"5":{"type":"con","src":{"35579":{"raddr":"172.29.12.69:0","mhdr":"iBHb2","name":"NODO-01"},"45579":{"raddr":"172.29.12.68:0","mhdr":"iBHb2","name":"NODO-02"}},"dst":{"mode":"client","raddr":"172.26.38.18:5579","mhdr":"iBHb2","name":"Base24-POS-29"},"plugin": {"file":"slb_plugin_rm_biciso.so","type":"RM"}},</v>
      </c>
    </row>
    <row r="331" spans="1:18" ht="15" thickBot="1">
      <c r="A331" s="64"/>
      <c r="B331" s="14" t="s">
        <v>430</v>
      </c>
      <c r="C331" s="14" t="s">
        <v>497</v>
      </c>
      <c r="D331" s="15">
        <v>6</v>
      </c>
      <c r="E331" s="15">
        <v>10180</v>
      </c>
      <c r="F331" s="15" t="s">
        <v>14</v>
      </c>
      <c r="G331" s="17"/>
      <c r="H331" s="15" t="s">
        <v>437</v>
      </c>
      <c r="I331" s="17" t="s">
        <v>389</v>
      </c>
      <c r="J331" s="15">
        <v>5580</v>
      </c>
      <c r="K331" s="35" t="s">
        <v>437</v>
      </c>
      <c r="L331" s="35" t="str">
        <f t="shared" si="57"/>
        <v>172.29.12.69</v>
      </c>
      <c r="M331" s="35" t="str">
        <f t="shared" si="55"/>
        <v>35580</v>
      </c>
      <c r="N331" s="35" t="str">
        <f t="shared" si="22"/>
        <v>172.29.12.68</v>
      </c>
      <c r="O331" s="35">
        <f t="shared" si="56"/>
        <v>45580</v>
      </c>
      <c r="P331" s="35" t="s">
        <v>94</v>
      </c>
      <c r="Q331" s="36" t="s">
        <v>96</v>
      </c>
      <c r="R331" s="3" t="str">
        <f t="shared" si="52"/>
        <v>"6":{"type":"con","src":{"35580":{"raddr":"172.29.12.69:0","mhdr":"iBHb2","name":"NODO-01"},"45580":{"raddr":"172.29.12.68:0","mhdr":"iBHb2","name":"NODO-02"}},"dst":{"mode":"client","raddr":"172.26.38.18:5580","mhdr":"iBHb2","name":"Base24-POS-30"},"plugin": {"file":"slb_plugin_rm_biciso.so","type":"RM"}}}},</v>
      </c>
    </row>
    <row r="332" spans="1:18">
      <c r="A332" s="92">
        <v>33</v>
      </c>
      <c r="B332" s="10" t="s">
        <v>431</v>
      </c>
      <c r="C332" s="10" t="s">
        <v>497</v>
      </c>
      <c r="D332" s="11">
        <v>1</v>
      </c>
      <c r="E332" s="11">
        <v>10181</v>
      </c>
      <c r="F332" s="11" t="s">
        <v>14</v>
      </c>
      <c r="G332" s="29"/>
      <c r="H332" s="11" t="s">
        <v>437</v>
      </c>
      <c r="I332" s="29" t="s">
        <v>389</v>
      </c>
      <c r="J332" s="11">
        <v>5581</v>
      </c>
      <c r="K332" s="32" t="s">
        <v>437</v>
      </c>
      <c r="L332" s="32" t="str">
        <f t="shared" si="57"/>
        <v>172.29.12.69</v>
      </c>
      <c r="M332" s="32" t="str">
        <f t="shared" si="55"/>
        <v>35581</v>
      </c>
      <c r="N332" s="32" t="str">
        <f t="shared" si="22"/>
        <v>172.29.12.68</v>
      </c>
      <c r="O332" s="32">
        <f t="shared" si="56"/>
        <v>45581</v>
      </c>
      <c r="P332" s="32" t="s">
        <v>94</v>
      </c>
      <c r="Q332" s="49" t="s">
        <v>95</v>
      </c>
      <c r="R332" s="3" t="str">
        <f t="shared" si="52"/>
        <v>"33":{"rules":{"1":{"type":"con","src":{"35581":{"raddr":"172.29.12.69:0","mhdr":"iBHb2","name":"NODO-01"},"45581":{"raddr":"172.29.12.68:0","mhdr":"iBHb2","name":"NODO-02"}},"dst":{"mode":"client","raddr":"172.26.38.18:5581","mhdr":"iBHb2","name":"Base24-POS-31"},"plugin": {"file":"slb_plugin_rm_biciso.so","type":"RM"}},</v>
      </c>
    </row>
    <row r="333" spans="1:18">
      <c r="A333" s="63"/>
      <c r="B333" s="2" t="s">
        <v>432</v>
      </c>
      <c r="C333" s="2" t="s">
        <v>497</v>
      </c>
      <c r="D333" s="6">
        <v>2</v>
      </c>
      <c r="E333" s="6">
        <v>10182</v>
      </c>
      <c r="F333" s="6" t="s">
        <v>14</v>
      </c>
      <c r="G333" s="8"/>
      <c r="H333" s="6" t="s">
        <v>437</v>
      </c>
      <c r="I333" s="8" t="s">
        <v>389</v>
      </c>
      <c r="J333" s="6">
        <v>5582</v>
      </c>
      <c r="K333" s="33" t="s">
        <v>437</v>
      </c>
      <c r="L333" s="33" t="str">
        <f t="shared" si="57"/>
        <v>172.29.12.69</v>
      </c>
      <c r="M333" s="33" t="str">
        <f t="shared" si="55"/>
        <v>35582</v>
      </c>
      <c r="N333" s="33" t="str">
        <f t="shared" si="22"/>
        <v>172.29.12.68</v>
      </c>
      <c r="O333" s="33">
        <f t="shared" si="56"/>
        <v>45582</v>
      </c>
      <c r="P333" s="33" t="s">
        <v>94</v>
      </c>
      <c r="Q333" s="34" t="s">
        <v>95</v>
      </c>
      <c r="R333" s="3" t="str">
        <f t="shared" si="52"/>
        <v>"2":{"type":"con","src":{"35582":{"raddr":"172.29.12.69:0","mhdr":"iBHb2","name":"NODO-01"},"45582":{"raddr":"172.29.12.68:0","mhdr":"iBHb2","name":"NODO-02"}},"dst":{"mode":"client","raddr":"172.26.38.18:5582","mhdr":"iBHb2","name":"Base24-POS-32"},"plugin": {"file":"slb_plugin_rm_biciso.so","type":"RM"}},</v>
      </c>
    </row>
    <row r="334" spans="1:18">
      <c r="A334" s="63"/>
      <c r="B334" s="2" t="s">
        <v>433</v>
      </c>
      <c r="C334" s="2" t="s">
        <v>497</v>
      </c>
      <c r="D334" s="6">
        <v>3</v>
      </c>
      <c r="E334" s="6">
        <v>10183</v>
      </c>
      <c r="F334" s="6" t="s">
        <v>14</v>
      </c>
      <c r="G334" s="8"/>
      <c r="H334" s="6" t="s">
        <v>437</v>
      </c>
      <c r="I334" s="8" t="s">
        <v>389</v>
      </c>
      <c r="J334" s="6">
        <v>5583</v>
      </c>
      <c r="K334" s="33" t="s">
        <v>437</v>
      </c>
      <c r="L334" s="33" t="str">
        <f t="shared" si="57"/>
        <v>172.29.12.69</v>
      </c>
      <c r="M334" s="33" t="str">
        <f t="shared" si="55"/>
        <v>35583</v>
      </c>
      <c r="N334" s="33" t="str">
        <f t="shared" si="22"/>
        <v>172.29.12.68</v>
      </c>
      <c r="O334" s="33">
        <f t="shared" si="56"/>
        <v>45583</v>
      </c>
      <c r="P334" s="33" t="s">
        <v>94</v>
      </c>
      <c r="Q334" s="34" t="s">
        <v>95</v>
      </c>
      <c r="R334" s="3" t="str">
        <f t="shared" si="52"/>
        <v>"3":{"type":"con","src":{"35583":{"raddr":"172.29.12.69:0","mhdr":"iBHb2","name":"NODO-01"},"45583":{"raddr":"172.29.12.68:0","mhdr":"iBHb2","name":"NODO-02"}},"dst":{"mode":"client","raddr":"172.26.38.18:5583","mhdr":"iBHb2","name":"Base24-POS-33"},"plugin": {"file":"slb_plugin_rm_biciso.so","type":"RM"}},</v>
      </c>
    </row>
    <row r="335" spans="1:18">
      <c r="A335" s="63"/>
      <c r="B335" s="2" t="s">
        <v>434</v>
      </c>
      <c r="C335" s="2" t="s">
        <v>497</v>
      </c>
      <c r="D335" s="6">
        <v>4</v>
      </c>
      <c r="E335" s="6">
        <v>10184</v>
      </c>
      <c r="F335" s="6" t="s">
        <v>14</v>
      </c>
      <c r="G335" s="8"/>
      <c r="H335" s="6" t="s">
        <v>437</v>
      </c>
      <c r="I335" s="8" t="s">
        <v>389</v>
      </c>
      <c r="J335" s="6">
        <v>5584</v>
      </c>
      <c r="K335" s="33" t="s">
        <v>437</v>
      </c>
      <c r="L335" s="33" t="str">
        <f t="shared" si="57"/>
        <v>172.29.12.69</v>
      </c>
      <c r="M335" s="33" t="str">
        <f t="shared" si="55"/>
        <v>35584</v>
      </c>
      <c r="N335" s="33" t="str">
        <f t="shared" si="22"/>
        <v>172.29.12.68</v>
      </c>
      <c r="O335" s="33">
        <f t="shared" si="56"/>
        <v>45584</v>
      </c>
      <c r="P335" s="33" t="s">
        <v>94</v>
      </c>
      <c r="Q335" s="34" t="s">
        <v>95</v>
      </c>
      <c r="R335" s="3" t="str">
        <f t="shared" si="52"/>
        <v>"4":{"type":"con","src":{"35584":{"raddr":"172.29.12.69:0","mhdr":"iBHb2","name":"NODO-01"},"45584":{"raddr":"172.29.12.68:0","mhdr":"iBHb2","name":"NODO-02"}},"dst":{"mode":"client","raddr":"172.26.38.18:5584","mhdr":"iBHb2","name":"Base24-POS-34"},"plugin": {"file":"slb_plugin_rm_biciso.so","type":"RM"}},</v>
      </c>
    </row>
    <row r="336" spans="1:18">
      <c r="A336" s="63"/>
      <c r="B336" s="2" t="s">
        <v>435</v>
      </c>
      <c r="C336" s="2" t="s">
        <v>497</v>
      </c>
      <c r="D336" s="6">
        <v>5</v>
      </c>
      <c r="E336" s="6">
        <v>10185</v>
      </c>
      <c r="F336" s="6" t="s">
        <v>14</v>
      </c>
      <c r="G336" s="8"/>
      <c r="H336" s="6" t="s">
        <v>437</v>
      </c>
      <c r="I336" s="8" t="s">
        <v>389</v>
      </c>
      <c r="J336" s="6">
        <v>5585</v>
      </c>
      <c r="K336" s="33" t="s">
        <v>437</v>
      </c>
      <c r="L336" s="33" t="str">
        <f t="shared" si="57"/>
        <v>172.29.12.69</v>
      </c>
      <c r="M336" s="33" t="str">
        <f t="shared" si="55"/>
        <v>35585</v>
      </c>
      <c r="N336" s="33" t="str">
        <f t="shared" si="22"/>
        <v>172.29.12.68</v>
      </c>
      <c r="O336" s="33">
        <f t="shared" si="56"/>
        <v>45585</v>
      </c>
      <c r="P336" s="33" t="s">
        <v>94</v>
      </c>
      <c r="Q336" s="34" t="s">
        <v>95</v>
      </c>
      <c r="R336" s="3" t="str">
        <f t="shared" si="52"/>
        <v>"5":{"type":"con","src":{"35585":{"raddr":"172.29.12.69:0","mhdr":"iBHb2","name":"NODO-01"},"45585":{"raddr":"172.29.12.68:0","mhdr":"iBHb2","name":"NODO-02"}},"dst":{"mode":"client","raddr":"172.26.38.18:5585","mhdr":"iBHb2","name":"Base24-POS-35"},"plugin": {"file":"slb_plugin_rm_biciso.so","type":"RM"}},</v>
      </c>
    </row>
    <row r="337" spans="1:18" ht="15" thickBot="1">
      <c r="A337" s="64"/>
      <c r="B337" s="14" t="s">
        <v>436</v>
      </c>
      <c r="C337" s="14" t="s">
        <v>497</v>
      </c>
      <c r="D337" s="15">
        <v>6</v>
      </c>
      <c r="E337" s="15">
        <v>10186</v>
      </c>
      <c r="F337" s="15" t="s">
        <v>14</v>
      </c>
      <c r="G337" s="17"/>
      <c r="H337" s="15" t="s">
        <v>437</v>
      </c>
      <c r="I337" s="17" t="s">
        <v>389</v>
      </c>
      <c r="J337" s="15">
        <v>5586</v>
      </c>
      <c r="K337" s="35" t="s">
        <v>437</v>
      </c>
      <c r="L337" s="35" t="str">
        <f t="shared" si="57"/>
        <v>172.29.12.69</v>
      </c>
      <c r="M337" s="35" t="str">
        <f t="shared" si="55"/>
        <v>35586</v>
      </c>
      <c r="N337" s="33" t="str">
        <f t="shared" si="22"/>
        <v>172.29.12.68</v>
      </c>
      <c r="O337" s="35">
        <f t="shared" si="56"/>
        <v>45586</v>
      </c>
      <c r="P337" s="35" t="s">
        <v>94</v>
      </c>
      <c r="Q337" s="36" t="s">
        <v>96</v>
      </c>
      <c r="R337" s="3" t="str">
        <f t="shared" si="52"/>
        <v>"6":{"type":"con","src":{"35586":{"raddr":"172.29.12.69:0","mhdr":"iBHb2","name":"NODO-01"},"45586":{"raddr":"172.29.12.68:0","mhdr":"iBHb2","name":"NODO-02"}},"dst":{"mode":"client","raddr":"172.26.38.18:5586","mhdr":"iBHb2","name":"Base24-POS-36"},"plugin": {"file":"slb_plugin_rm_biciso.so","type":"RM"}}}},</v>
      </c>
    </row>
    <row r="338" spans="1:18" ht="15" thickBot="1">
      <c r="A338" s="92">
        <v>34</v>
      </c>
      <c r="B338" s="23" t="s">
        <v>444</v>
      </c>
      <c r="C338" s="10" t="s">
        <v>497</v>
      </c>
      <c r="D338" s="29">
        <v>1</v>
      </c>
      <c r="E338" s="93" t="s">
        <v>1263</v>
      </c>
      <c r="F338" s="29" t="s">
        <v>8</v>
      </c>
      <c r="G338" s="29" t="s">
        <v>1250</v>
      </c>
      <c r="H338" s="29" t="s">
        <v>55</v>
      </c>
      <c r="I338" s="29"/>
      <c r="J338" s="29">
        <v>8810</v>
      </c>
      <c r="K338" s="32" t="s">
        <v>55</v>
      </c>
      <c r="L338" s="35" t="str">
        <f t="shared" si="57"/>
        <v>172.29.12.69</v>
      </c>
      <c r="M338" s="32">
        <v>38810</v>
      </c>
      <c r="N338" s="33" t="str">
        <f t="shared" si="22"/>
        <v>172.29.12.68</v>
      </c>
      <c r="O338" s="35">
        <f t="shared" si="56"/>
        <v>48810</v>
      </c>
      <c r="P338" s="32" t="s">
        <v>94</v>
      </c>
      <c r="Q338" s="49" t="s">
        <v>95</v>
      </c>
      <c r="R338" s="3" t="str">
        <f t="shared" si="52"/>
        <v>"34":{"rules":{"1":{"type":"con","src":{"38810":{"raddr":"172.29.12.69:0","mhdr":"BHb2","name":"NODO-01"},"48810":{"raddr":"172.29.12.68:0","mhdr":"BHb2","name":"NODO-02"}},"dst":{"mode":"server","raddr":"10.107.32.24:0","lport":"8810 BHb2","name":"ETEK_01"},"plugin": {"file":"slb_plugin_rm_biciso.so","type":"RM"}},</v>
      </c>
    </row>
    <row r="339" spans="1:18" ht="15" thickBot="1">
      <c r="A339" s="63"/>
      <c r="B339" s="7" t="s">
        <v>445</v>
      </c>
      <c r="C339" s="2" t="s">
        <v>497</v>
      </c>
      <c r="D339" s="8">
        <v>2</v>
      </c>
      <c r="E339" s="43" t="s">
        <v>1264</v>
      </c>
      <c r="F339" s="8" t="s">
        <v>8</v>
      </c>
      <c r="G339" s="8" t="s">
        <v>1250</v>
      </c>
      <c r="H339" s="8" t="s">
        <v>55</v>
      </c>
      <c r="I339" s="8"/>
      <c r="J339" s="8">
        <v>8811</v>
      </c>
      <c r="K339" s="33" t="s">
        <v>55</v>
      </c>
      <c r="L339" s="35" t="str">
        <f t="shared" si="57"/>
        <v>172.29.12.69</v>
      </c>
      <c r="M339" s="33">
        <v>38811</v>
      </c>
      <c r="N339" s="33" t="str">
        <f t="shared" si="22"/>
        <v>172.29.12.68</v>
      </c>
      <c r="O339" s="35">
        <f t="shared" si="56"/>
        <v>48811</v>
      </c>
      <c r="P339" s="32" t="s">
        <v>94</v>
      </c>
      <c r="Q339" s="34" t="s">
        <v>95</v>
      </c>
      <c r="R339" s="3" t="str">
        <f t="shared" si="52"/>
        <v>"2":{"type":"con","src":{"38811":{"raddr":"172.29.12.69:0","mhdr":"BHb2","name":"NODO-01"},"48811":{"raddr":"172.29.12.68:0","mhdr":"BHb2","name":"NODO-02"}},"dst":{"mode":"server","raddr":"10.107.32.24:0","lport":"8811 BHb2","name":"ETEK_02"},"plugin": {"file":"slb_plugin_rm_biciso.so","type":"RM"}},</v>
      </c>
    </row>
    <row r="340" spans="1:18" ht="15" thickBot="1">
      <c r="A340" s="63"/>
      <c r="B340" s="7" t="s">
        <v>442</v>
      </c>
      <c r="C340" s="2" t="s">
        <v>497</v>
      </c>
      <c r="D340" s="8">
        <v>3</v>
      </c>
      <c r="E340" s="43" t="s">
        <v>1265</v>
      </c>
      <c r="F340" s="8" t="s">
        <v>14</v>
      </c>
      <c r="G340" s="8"/>
      <c r="H340" s="8" t="s">
        <v>55</v>
      </c>
      <c r="I340" s="8" t="s">
        <v>389</v>
      </c>
      <c r="J340" s="8">
        <v>8810</v>
      </c>
      <c r="K340" s="33" t="s">
        <v>55</v>
      </c>
      <c r="L340" s="35" t="str">
        <f t="shared" si="57"/>
        <v>172.29.12.69</v>
      </c>
      <c r="M340" s="33">
        <v>58810</v>
      </c>
      <c r="N340" s="33" t="str">
        <f t="shared" si="22"/>
        <v>172.29.12.68</v>
      </c>
      <c r="O340" s="33">
        <f>+M340-30000</f>
        <v>28810</v>
      </c>
      <c r="P340" s="32" t="s">
        <v>94</v>
      </c>
      <c r="Q340" s="34" t="s">
        <v>95</v>
      </c>
      <c r="R340" s="3" t="str">
        <f t="shared" si="52"/>
        <v>"3":{"type":"con","src":{"58810":{"raddr":"172.29.12.69:0","mhdr":"BHb2","name":"NODO-01"},"28810":{"raddr":"172.29.12.68:0","mhdr":"BHb2","name":"NODO-02"}},"dst":{"mode":"client","raddr":"172.26.38.18:8810","mhdr":"BHb2","name":"ETEK B24_1"},"plugin": {"file":"slb_plugin_rm_biciso.so","type":"RM"}},</v>
      </c>
    </row>
    <row r="341" spans="1:18" ht="15" thickBot="1">
      <c r="A341" s="64"/>
      <c r="B341" s="16" t="s">
        <v>443</v>
      </c>
      <c r="C341" s="14" t="s">
        <v>497</v>
      </c>
      <c r="D341" s="17">
        <v>4</v>
      </c>
      <c r="E341" s="44" t="s">
        <v>1266</v>
      </c>
      <c r="F341" s="17" t="s">
        <v>14</v>
      </c>
      <c r="G341" s="17"/>
      <c r="H341" s="17" t="s">
        <v>55</v>
      </c>
      <c r="I341" s="17" t="s">
        <v>389</v>
      </c>
      <c r="J341" s="17">
        <v>8811</v>
      </c>
      <c r="K341" s="35" t="s">
        <v>55</v>
      </c>
      <c r="L341" s="35" t="str">
        <f t="shared" si="57"/>
        <v>172.29.12.69</v>
      </c>
      <c r="M341" s="35">
        <v>58811</v>
      </c>
      <c r="N341" s="33" t="str">
        <f t="shared" si="22"/>
        <v>172.29.12.68</v>
      </c>
      <c r="O341" s="33">
        <f>+M341-30000</f>
        <v>28811</v>
      </c>
      <c r="P341" s="32" t="s">
        <v>94</v>
      </c>
      <c r="Q341" s="36" t="s">
        <v>96</v>
      </c>
      <c r="R341" s="3" t="str">
        <f t="shared" si="52"/>
        <v>"4":{"type":"con","src":{"58811":{"raddr":"172.29.12.69:0","mhdr":"BHb2","name":"NODO-01"},"28811":{"raddr":"172.29.12.68:0","mhdr":"BHb2","name":"NODO-02"}},"dst":{"mode":"client","raddr":"172.26.38.18:8811","mhdr":"BHb2","name":"ETEK B24_2"},"plugin": {"file":"slb_plugin_rm_biciso.so","type":"RM"}}}},</v>
      </c>
    </row>
    <row r="342" spans="1:18" ht="15" thickBot="1">
      <c r="A342" s="92">
        <v>35</v>
      </c>
      <c r="B342" s="23" t="s">
        <v>218</v>
      </c>
      <c r="C342" s="23" t="s">
        <v>497</v>
      </c>
      <c r="D342" s="29">
        <v>1</v>
      </c>
      <c r="E342" s="93" t="s">
        <v>1267</v>
      </c>
      <c r="F342" s="29" t="s">
        <v>8</v>
      </c>
      <c r="G342" s="29" t="s">
        <v>217</v>
      </c>
      <c r="H342" s="29" t="s">
        <v>437</v>
      </c>
      <c r="I342" s="29"/>
      <c r="J342" s="29">
        <v>5307</v>
      </c>
      <c r="K342" s="32" t="s">
        <v>437</v>
      </c>
      <c r="L342" s="35" t="str">
        <f t="shared" si="57"/>
        <v>172.29.12.69</v>
      </c>
      <c r="M342" s="32">
        <v>35307</v>
      </c>
      <c r="N342" s="33" t="str">
        <f t="shared" si="22"/>
        <v>172.29.12.68</v>
      </c>
      <c r="O342" s="35">
        <f t="shared" si="56"/>
        <v>45307</v>
      </c>
      <c r="P342" s="33" t="s">
        <v>94</v>
      </c>
      <c r="Q342" s="49" t="s">
        <v>95</v>
      </c>
      <c r="R342" s="3" t="str">
        <f t="shared" si="52"/>
        <v>"35":{"rules":{"1":{"type":"con","src":{"35307":{"raddr":"172.29.12.69:0","mhdr":"iBHb2","name":"NODO-01"},"45307":{"raddr":"172.29.12.68:0","mhdr":"iBHb2","name":"NODO-02"}},"dst":{"mode":"server","raddr":"172.16.27.50:0","lport":"5307 iBHb2","name":"Bancolombia AMEX (FiServ) 1"},"plugin": {"file":"slb_plugin_rm_biciso.so","type":"RM"}},</v>
      </c>
    </row>
    <row r="343" spans="1:18" ht="15" thickBot="1">
      <c r="A343" s="63"/>
      <c r="B343" s="7" t="s">
        <v>219</v>
      </c>
      <c r="C343" s="7" t="s">
        <v>497</v>
      </c>
      <c r="D343" s="8">
        <v>2</v>
      </c>
      <c r="E343" s="43" t="s">
        <v>1268</v>
      </c>
      <c r="F343" s="8" t="s">
        <v>8</v>
      </c>
      <c r="G343" s="8" t="s">
        <v>217</v>
      </c>
      <c r="H343" s="8" t="s">
        <v>437</v>
      </c>
      <c r="I343" s="8"/>
      <c r="J343" s="8">
        <v>6307</v>
      </c>
      <c r="K343" s="33" t="s">
        <v>437</v>
      </c>
      <c r="L343" s="35" t="str">
        <f t="shared" si="57"/>
        <v>172.29.12.69</v>
      </c>
      <c r="M343" s="33">
        <v>36307</v>
      </c>
      <c r="N343" s="33" t="str">
        <f t="shared" si="22"/>
        <v>172.29.12.68</v>
      </c>
      <c r="O343" s="35">
        <f t="shared" si="56"/>
        <v>46307</v>
      </c>
      <c r="P343" s="33" t="s">
        <v>94</v>
      </c>
      <c r="Q343" s="34" t="s">
        <v>96</v>
      </c>
      <c r="R343" s="3" t="str">
        <f t="shared" si="52"/>
        <v>"2":{"type":"con","src":{"36307":{"raddr":"172.29.12.69:0","mhdr":"iBHb2","name":"NODO-01"},"46307":{"raddr":"172.29.12.68:0","mhdr":"iBHb2","name":"NODO-02"}},"dst":{"mode":"server","raddr":"172.16.27.50:0","lport":"6307 iBHb2","name":"Bancolombia AMEX (FiServ) 2"},"plugin": {"file":"slb_plugin_rm_biciso.so","type":"RM"}}}},</v>
      </c>
    </row>
    <row r="344" spans="1:18" ht="15" thickBot="1">
      <c r="A344" s="122">
        <v>36</v>
      </c>
      <c r="B344" s="18" t="s">
        <v>1084</v>
      </c>
      <c r="C344" s="18" t="s">
        <v>497</v>
      </c>
      <c r="D344" s="19">
        <v>1</v>
      </c>
      <c r="E344" s="42" t="s">
        <v>1269</v>
      </c>
      <c r="F344" s="19" t="s">
        <v>8</v>
      </c>
      <c r="G344" s="19" t="s">
        <v>168</v>
      </c>
      <c r="H344" s="19" t="s">
        <v>55</v>
      </c>
      <c r="I344" s="19"/>
      <c r="J344" s="19">
        <v>2019</v>
      </c>
      <c r="K344" s="37" t="s">
        <v>55</v>
      </c>
      <c r="L344" s="35" t="str">
        <f t="shared" si="57"/>
        <v>172.29.12.69</v>
      </c>
      <c r="M344" s="37">
        <v>32019</v>
      </c>
      <c r="N344" s="33" t="str">
        <f t="shared" si="22"/>
        <v>172.29.12.68</v>
      </c>
      <c r="O344" s="35">
        <f t="shared" si="56"/>
        <v>42019</v>
      </c>
      <c r="P344" s="33" t="s">
        <v>94</v>
      </c>
      <c r="Q344" s="49" t="s">
        <v>95</v>
      </c>
      <c r="R344" s="3" t="str">
        <f t="shared" si="52"/>
        <v>"36":{"rules":{"1":{"type":"con","src":{"32019":{"raddr":"172.29.12.69:0","mhdr":"BHb2","name":"NODO-01"},"42019":{"raddr":"172.29.12.68:0","mhdr":"BHb2","name":"NODO-02"}},"dst":{"mode":"server","raddr":"10.2.19.18:0","lport":"2019 BHb2","name":"Colpatria Visa 1"},"plugin": {"file":"slb_plugin_rm_biciso.so","type":"RM"}},</v>
      </c>
    </row>
    <row r="345" spans="1:18" ht="15" thickBot="1">
      <c r="A345" s="122"/>
      <c r="B345" s="18" t="s">
        <v>1082</v>
      </c>
      <c r="C345" s="18" t="s">
        <v>497</v>
      </c>
      <c r="D345" s="19">
        <v>2</v>
      </c>
      <c r="E345" s="42" t="s">
        <v>1271</v>
      </c>
      <c r="F345" s="19" t="s">
        <v>8</v>
      </c>
      <c r="G345" s="19" t="s">
        <v>168</v>
      </c>
      <c r="H345" s="19" t="s">
        <v>55</v>
      </c>
      <c r="I345" s="19"/>
      <c r="J345" s="19">
        <v>3019</v>
      </c>
      <c r="K345" s="37" t="s">
        <v>55</v>
      </c>
      <c r="L345" s="35" t="str">
        <f t="shared" ref="L345:L349" si="58">+$B$174</f>
        <v>172.29.12.69</v>
      </c>
      <c r="M345" s="37">
        <v>33019</v>
      </c>
      <c r="N345" s="33" t="str">
        <f t="shared" si="22"/>
        <v>172.29.12.68</v>
      </c>
      <c r="O345" s="35">
        <f t="shared" si="56"/>
        <v>43019</v>
      </c>
      <c r="P345" s="33" t="s">
        <v>94</v>
      </c>
      <c r="Q345" s="34" t="s">
        <v>95</v>
      </c>
      <c r="R345" s="3" t="str">
        <f t="shared" si="52"/>
        <v>"2":{"type":"con","src":{"33019":{"raddr":"172.29.12.69:0","mhdr":"BHb2","name":"NODO-01"},"43019":{"raddr":"172.29.12.68:0","mhdr":"BHb2","name":"NODO-02"}},"dst":{"mode":"server","raddr":"10.2.19.18:0","lport":"3019 BHb2","name":"Colpatria Visa 2"},"plugin": {"file":"slb_plugin_rm_biciso.so","type":"RM"}},</v>
      </c>
    </row>
    <row r="346" spans="1:18" ht="15" thickBot="1">
      <c r="A346" s="122"/>
      <c r="B346" s="18" t="s">
        <v>1275</v>
      </c>
      <c r="C346" s="18" t="s">
        <v>497</v>
      </c>
      <c r="D346" s="19">
        <v>3</v>
      </c>
      <c r="E346" s="42" t="s">
        <v>1270</v>
      </c>
      <c r="F346" s="19" t="s">
        <v>8</v>
      </c>
      <c r="G346" s="19" t="s">
        <v>168</v>
      </c>
      <c r="H346" s="19" t="s">
        <v>55</v>
      </c>
      <c r="I346" s="19"/>
      <c r="J346" s="19">
        <v>2719</v>
      </c>
      <c r="K346" s="37" t="s">
        <v>55</v>
      </c>
      <c r="L346" s="35" t="str">
        <f t="shared" si="58"/>
        <v>172.29.12.69</v>
      </c>
      <c r="M346" s="37">
        <v>32719</v>
      </c>
      <c r="N346" s="33" t="str">
        <f t="shared" si="22"/>
        <v>172.29.12.68</v>
      </c>
      <c r="O346" s="35">
        <f t="shared" si="56"/>
        <v>42719</v>
      </c>
      <c r="P346" s="33" t="s">
        <v>94</v>
      </c>
      <c r="Q346" s="34" t="s">
        <v>95</v>
      </c>
      <c r="R346" s="3" t="str">
        <f t="shared" si="52"/>
        <v>"3":{"type":"con","src":{"32719":{"raddr":"172.29.12.69:0","mhdr":"BHb2","name":"NODO-01"},"42719":{"raddr":"172.29.12.68:0","mhdr":"BHb2","name":"NODO-02"}},"dst":{"mode":"server","raddr":"10.2.19.18:0","lport":"2719 BHb2","name":"Colpatria Amex 1 "},"plugin": {"file":"slb_plugin_rm_biciso.so","type":"RM"}},</v>
      </c>
    </row>
    <row r="347" spans="1:18" ht="15" thickBot="1">
      <c r="A347" s="122"/>
      <c r="B347" s="18" t="s">
        <v>1088</v>
      </c>
      <c r="C347" s="18" t="s">
        <v>497</v>
      </c>
      <c r="D347" s="19">
        <v>4</v>
      </c>
      <c r="E347" s="42" t="s">
        <v>1272</v>
      </c>
      <c r="F347" s="19" t="s">
        <v>8</v>
      </c>
      <c r="G347" s="19" t="s">
        <v>168</v>
      </c>
      <c r="H347" s="19" t="s">
        <v>55</v>
      </c>
      <c r="I347" s="19"/>
      <c r="J347" s="19">
        <v>3719</v>
      </c>
      <c r="K347" s="37" t="s">
        <v>55</v>
      </c>
      <c r="L347" s="35" t="str">
        <f t="shared" si="58"/>
        <v>172.29.12.69</v>
      </c>
      <c r="M347" s="37">
        <v>33719</v>
      </c>
      <c r="N347" s="33" t="str">
        <f t="shared" si="22"/>
        <v>172.29.12.68</v>
      </c>
      <c r="O347" s="35">
        <f t="shared" si="56"/>
        <v>43719</v>
      </c>
      <c r="P347" s="33" t="s">
        <v>94</v>
      </c>
      <c r="Q347" s="36" t="s">
        <v>95</v>
      </c>
      <c r="R347" s="3" t="str">
        <f t="shared" si="52"/>
        <v>"4":{"type":"con","src":{"33719":{"raddr":"172.29.12.69:0","mhdr":"BHb2","name":"NODO-01"},"43719":{"raddr":"172.29.12.68:0","mhdr":"BHb2","name":"NODO-02"}},"dst":{"mode":"server","raddr":"10.2.19.18:0","lport":"3719 BHb2","name":"Colpatria Amex 2"},"plugin": {"file":"slb_plugin_rm_biciso.so","type":"RM"}},</v>
      </c>
    </row>
    <row r="348" spans="1:18" ht="15" thickBot="1">
      <c r="A348" s="122"/>
      <c r="B348" s="18" t="s">
        <v>1276</v>
      </c>
      <c r="C348" s="18" t="s">
        <v>497</v>
      </c>
      <c r="D348" s="19">
        <v>5</v>
      </c>
      <c r="E348" s="42" t="s">
        <v>1273</v>
      </c>
      <c r="F348" s="19" t="s">
        <v>8</v>
      </c>
      <c r="G348" s="19" t="s">
        <v>168</v>
      </c>
      <c r="H348" s="19" t="s">
        <v>55</v>
      </c>
      <c r="I348" s="19"/>
      <c r="J348" s="19">
        <v>2519</v>
      </c>
      <c r="K348" s="37" t="s">
        <v>55</v>
      </c>
      <c r="L348" s="35" t="str">
        <f t="shared" si="58"/>
        <v>172.29.12.69</v>
      </c>
      <c r="M348" s="37">
        <v>32519</v>
      </c>
      <c r="N348" s="33" t="str">
        <f t="shared" si="22"/>
        <v>172.29.12.68</v>
      </c>
      <c r="O348" s="35">
        <f t="shared" si="56"/>
        <v>42519</v>
      </c>
      <c r="P348" s="33" t="s">
        <v>94</v>
      </c>
      <c r="Q348" s="49" t="s">
        <v>95</v>
      </c>
      <c r="R348" s="3" t="str">
        <f t="shared" si="52"/>
        <v>"5":{"type":"con","src":{"32519":{"raddr":"172.29.12.69:0","mhdr":"BHb2","name":"NODO-01"},"42519":{"raddr":"172.29.12.68:0","mhdr":"BHb2","name":"NODO-02"}},"dst":{"mode":"server","raddr":"10.2.19.18:0","lport":"2519 BHb2","name":"Colpatria MC 1 "},"plugin": {"file":"slb_plugin_rm_biciso.so","type":"RM"}},</v>
      </c>
    </row>
    <row r="349" spans="1:18" ht="15" thickBot="1">
      <c r="A349" s="122"/>
      <c r="B349" s="18" t="s">
        <v>1092</v>
      </c>
      <c r="C349" s="18" t="s">
        <v>497</v>
      </c>
      <c r="D349" s="19">
        <v>6</v>
      </c>
      <c r="E349" s="42" t="s">
        <v>1274</v>
      </c>
      <c r="F349" s="19" t="s">
        <v>8</v>
      </c>
      <c r="G349" s="19" t="s">
        <v>168</v>
      </c>
      <c r="H349" s="19" t="s">
        <v>55</v>
      </c>
      <c r="I349" s="19"/>
      <c r="J349" s="19">
        <v>3519</v>
      </c>
      <c r="K349" s="37" t="s">
        <v>55</v>
      </c>
      <c r="L349" s="35" t="str">
        <f t="shared" si="58"/>
        <v>172.29.12.69</v>
      </c>
      <c r="M349" s="37">
        <v>33519</v>
      </c>
      <c r="N349" s="33" t="str">
        <f t="shared" si="22"/>
        <v>172.29.12.68</v>
      </c>
      <c r="O349" s="35">
        <f t="shared" si="56"/>
        <v>43519</v>
      </c>
      <c r="P349" s="33" t="s">
        <v>94</v>
      </c>
      <c r="Q349" s="34" t="s">
        <v>96</v>
      </c>
      <c r="R349" s="3" t="str">
        <f t="shared" si="52"/>
        <v>"6":{"type":"con","src":{"33519":{"raddr":"172.29.12.69:0","mhdr":"BHb2","name":"NODO-01"},"43519":{"raddr":"172.29.12.68:0","mhdr":"BHb2","name":"NODO-02"}},"dst":{"mode":"server","raddr":"10.2.19.18:0","lport":"3519 BHb2","name":"Colpatria MC 2"},"plugin": {"file":"slb_plugin_rm_biciso.so","type":"RM"}}}},</v>
      </c>
    </row>
    <row r="350" spans="1:18">
      <c r="A350" s="111">
        <v>37</v>
      </c>
      <c r="B350" s="23" t="s">
        <v>1256</v>
      </c>
      <c r="C350" s="10" t="s">
        <v>497</v>
      </c>
      <c r="D350" s="29">
        <v>1</v>
      </c>
      <c r="E350" s="93" t="s">
        <v>1258</v>
      </c>
      <c r="F350" s="29" t="s">
        <v>14</v>
      </c>
      <c r="G350" s="29"/>
      <c r="H350" s="29" t="s">
        <v>1284</v>
      </c>
      <c r="I350" s="29" t="s">
        <v>771</v>
      </c>
      <c r="J350" s="29">
        <v>20853</v>
      </c>
      <c r="K350" s="32" t="s">
        <v>1284</v>
      </c>
      <c r="L350" s="32" t="str">
        <f>+$B$174</f>
        <v>172.29.12.69</v>
      </c>
      <c r="M350" s="32">
        <v>30853</v>
      </c>
      <c r="N350" s="32" t="str">
        <f t="shared" si="22"/>
        <v>172.29.12.68</v>
      </c>
      <c r="O350" s="32">
        <v>40853</v>
      </c>
      <c r="P350" s="32" t="s">
        <v>1260</v>
      </c>
      <c r="Q350" s="49" t="s">
        <v>95</v>
      </c>
      <c r="R350" s="3" t="str">
        <f t="shared" si="52"/>
        <v>"37":{"rules":{"1":{"type":"con","src":{"30853":{"raddr":"172.29.12.69:0","mhdr":"CDb4","name":"NODO-01"},"40853":{"raddr":"172.29.12.68:0","mhdr":"CDb4","name":"NODO-02"}},"dst":{"mode":"client","raddr":"203.184.81.73:20853","mhdr":"CDb4","name":"UPI_CUP 1"},"plugin": {"file":"slb_plugin_rm_upi.so","type":"RM"}},</v>
      </c>
    </row>
    <row r="351" spans="1:18" ht="15" thickBot="1">
      <c r="A351" s="65"/>
      <c r="B351" s="16" t="s">
        <v>1257</v>
      </c>
      <c r="C351" s="14" t="s">
        <v>497</v>
      </c>
      <c r="D351" s="17">
        <v>2</v>
      </c>
      <c r="E351" s="44" t="s">
        <v>1259</v>
      </c>
      <c r="F351" s="17" t="s">
        <v>14</v>
      </c>
      <c r="G351" s="17"/>
      <c r="H351" s="17" t="s">
        <v>1284</v>
      </c>
      <c r="I351" s="17" t="s">
        <v>774</v>
      </c>
      <c r="J351" s="17">
        <v>20854</v>
      </c>
      <c r="K351" s="35" t="s">
        <v>1284</v>
      </c>
      <c r="L351" s="35" t="str">
        <f>+$B$174</f>
        <v>172.29.12.69</v>
      </c>
      <c r="M351" s="35">
        <v>30854</v>
      </c>
      <c r="N351" s="35" t="str">
        <f t="shared" si="22"/>
        <v>172.29.12.68</v>
      </c>
      <c r="O351" s="35">
        <v>40854</v>
      </c>
      <c r="P351" s="35" t="s">
        <v>1260</v>
      </c>
      <c r="Q351" s="36" t="s">
        <v>96</v>
      </c>
      <c r="R351" s="3" t="str">
        <f t="shared" ref="R351:R355" si="59">CONCATENATE(IF(A351&lt;&gt;"",CONCATENATE("""",A351,"""",":{","""","rules","""",":{"),""),"""",D351,""":{""type"":""con"",""src"":{""",M351,""":{""raddr"":""",L351,":0"",""mhdr"":""",K351,""",","""name""",":","""NODO-01","""},""",O351,""":{""raddr"":""",N351,":0"",""mhdr"":""",K351,""",","""name""",":","""NODO-02","""}},","""dst"":{""mode"":""",F351,""",""raddr"":""",IF(F351="server",G351,I351),":",IF(F351="server",0,J351),""",""",IF(F351="server","lport","mhdr"),""":""",IF(F351="server",J351,""),IF(F351="server"," ",""),K351,""",","""name""",":","""",B351,IF(P351&lt;&gt;"",CONCATENATE("""},","""plugin""",": {","""file""",":""",P351,""",","""type""",":","""","RM",""""),""""),Q351)</f>
        <v>"2":{"type":"con","src":{"30854":{"raddr":"172.29.12.69:0","mhdr":"CDb4","name":"NODO-01"},"40854":{"raddr":"172.29.12.68:0","mhdr":"CDb4","name":"NODO-02"}},"dst":{"mode":"client","raddr":"203.184.81.83:20854","mhdr":"CDb4","name":"UPI_CUP 2"},"plugin": {"file":"slb_plugin_rm_upi.so","type":"RM"}}}},</v>
      </c>
    </row>
    <row r="352" spans="1:18" ht="15" thickBot="1">
      <c r="A352" s="47">
        <f>A350+1</f>
        <v>38</v>
      </c>
      <c r="B352" s="23" t="s">
        <v>452</v>
      </c>
      <c r="C352" s="10" t="s">
        <v>497</v>
      </c>
      <c r="D352" s="29">
        <v>1</v>
      </c>
      <c r="E352" s="93" t="s">
        <v>1473</v>
      </c>
      <c r="F352" s="29" t="s">
        <v>8</v>
      </c>
      <c r="G352" s="96" t="s">
        <v>208</v>
      </c>
      <c r="H352" s="29" t="s">
        <v>55</v>
      </c>
      <c r="I352" s="29"/>
      <c r="J352" s="29">
        <v>3044</v>
      </c>
      <c r="K352" s="32" t="s">
        <v>55</v>
      </c>
      <c r="L352" s="35" t="str">
        <f t="shared" ref="L352:L355" si="60">+$B$174</f>
        <v>172.29.12.69</v>
      </c>
      <c r="M352" s="32">
        <v>33044</v>
      </c>
      <c r="N352" s="33" t="str">
        <f t="shared" si="22"/>
        <v>172.29.12.68</v>
      </c>
      <c r="O352" s="32">
        <f>M352+10000</f>
        <v>43044</v>
      </c>
      <c r="P352" s="32" t="s">
        <v>94</v>
      </c>
      <c r="Q352" s="49" t="s">
        <v>95</v>
      </c>
      <c r="R352" s="3" t="str">
        <f t="shared" si="59"/>
        <v>"38":{"rules":{"1":{"type":"con","src":{"33044":{"raddr":"172.29.12.69:0","mhdr":"BHb2","name":"NODO-01"},"43044":{"raddr":"172.29.12.68:0","mhdr":"BHb2","name":"NODO-02"}},"dst":{"mode":"server","raddr":"0.0.0.0:0","lport":"3044 BHb2","name":"BUS Pasarelas 1"},"plugin": {"file":"slb_plugin_rm_biciso.so","type":"RM"}},</v>
      </c>
    </row>
    <row r="353" spans="1:18" ht="15" thickBot="1">
      <c r="A353" s="30"/>
      <c r="B353" s="7" t="s">
        <v>453</v>
      </c>
      <c r="C353" s="2" t="s">
        <v>497</v>
      </c>
      <c r="D353" s="8">
        <v>2</v>
      </c>
      <c r="E353" s="43" t="s">
        <v>1474</v>
      </c>
      <c r="F353" s="8" t="s">
        <v>8</v>
      </c>
      <c r="G353" s="86" t="s">
        <v>208</v>
      </c>
      <c r="H353" s="8" t="s">
        <v>55</v>
      </c>
      <c r="I353" s="8"/>
      <c r="J353" s="8">
        <v>3055</v>
      </c>
      <c r="K353" s="33" t="s">
        <v>55</v>
      </c>
      <c r="L353" s="35" t="str">
        <f t="shared" si="60"/>
        <v>172.29.12.69</v>
      </c>
      <c r="M353" s="33">
        <v>33055</v>
      </c>
      <c r="N353" s="33" t="str">
        <f t="shared" ref="N353:N355" si="61">+$B$175</f>
        <v>172.29.12.68</v>
      </c>
      <c r="O353" s="32">
        <f t="shared" ref="O353" si="62">M353+10000</f>
        <v>43055</v>
      </c>
      <c r="P353" s="33" t="s">
        <v>94</v>
      </c>
      <c r="Q353" s="34" t="s">
        <v>95</v>
      </c>
      <c r="R353" s="3" t="str">
        <f t="shared" si="59"/>
        <v>"2":{"type":"con","src":{"33055":{"raddr":"172.29.12.69:0","mhdr":"BHb2","name":"NODO-01"},"43055":{"raddr":"172.29.12.68:0","mhdr":"BHb2","name":"NODO-02"}},"dst":{"mode":"server","raddr":"0.0.0.0:0","lport":"3055 BHb2","name":"BUS Pasarleas 2"},"plugin": {"file":"slb_plugin_rm_biciso.so","type":"RM"}},</v>
      </c>
    </row>
    <row r="354" spans="1:18" ht="15" thickBot="1">
      <c r="A354" s="30"/>
      <c r="B354" s="7" t="s">
        <v>454</v>
      </c>
      <c r="C354" s="2" t="s">
        <v>497</v>
      </c>
      <c r="D354" s="8">
        <v>3</v>
      </c>
      <c r="E354" s="43" t="s">
        <v>1475</v>
      </c>
      <c r="F354" s="8" t="s">
        <v>14</v>
      </c>
      <c r="G354" s="8"/>
      <c r="H354" s="8" t="s">
        <v>55</v>
      </c>
      <c r="I354" s="8" t="s">
        <v>389</v>
      </c>
      <c r="J354" s="8">
        <v>3044</v>
      </c>
      <c r="K354" s="33" t="s">
        <v>55</v>
      </c>
      <c r="L354" s="35" t="str">
        <f t="shared" si="60"/>
        <v>172.29.12.69</v>
      </c>
      <c r="M354" s="33">
        <v>53044</v>
      </c>
      <c r="N354" s="33" t="str">
        <f t="shared" si="61"/>
        <v>172.29.12.68</v>
      </c>
      <c r="O354" s="32">
        <f>M354-30000</f>
        <v>23044</v>
      </c>
      <c r="P354" s="33" t="s">
        <v>94</v>
      </c>
      <c r="Q354" s="34" t="s">
        <v>95</v>
      </c>
      <c r="R354" s="3" t="str">
        <f t="shared" si="59"/>
        <v>"3":{"type":"con","src":{"53044":{"raddr":"172.29.12.69:0","mhdr":"BHb2","name":"NODO-01"},"23044":{"raddr":"172.29.12.68:0","mhdr":"BHb2","name":"NODO-02"}},"dst":{"mode":"client","raddr":"172.26.38.18:3044","mhdr":"BHb2","name":"B24 Pasarelas 1 "},"plugin": {"file":"slb_plugin_rm_biciso.so","type":"RM"}},</v>
      </c>
    </row>
    <row r="355" spans="1:18" ht="15" thickBot="1">
      <c r="A355" s="97"/>
      <c r="B355" s="98" t="s">
        <v>455</v>
      </c>
      <c r="C355" s="99" t="s">
        <v>497</v>
      </c>
      <c r="D355" s="100">
        <v>4</v>
      </c>
      <c r="E355" s="101" t="s">
        <v>1476</v>
      </c>
      <c r="F355" s="100" t="s">
        <v>14</v>
      </c>
      <c r="G355" s="100"/>
      <c r="H355" s="100" t="s">
        <v>55</v>
      </c>
      <c r="I355" s="100" t="s">
        <v>389</v>
      </c>
      <c r="J355" s="100">
        <v>3055</v>
      </c>
      <c r="K355" s="61" t="s">
        <v>55</v>
      </c>
      <c r="L355" s="35" t="str">
        <f t="shared" si="60"/>
        <v>172.29.12.69</v>
      </c>
      <c r="M355" s="61">
        <v>53055</v>
      </c>
      <c r="N355" s="33" t="str">
        <f t="shared" si="61"/>
        <v>172.29.12.68</v>
      </c>
      <c r="O355" s="32">
        <f>M355-30000</f>
        <v>23055</v>
      </c>
      <c r="P355" s="61" t="s">
        <v>94</v>
      </c>
      <c r="Q355" s="82" t="s">
        <v>126</v>
      </c>
      <c r="R355" s="3" t="str">
        <f t="shared" si="59"/>
        <v>"4":{"type":"con","src":{"53055":{"raddr":"172.29.12.69:0","mhdr":"BHb2","name":"NODO-01"},"23055":{"raddr":"172.29.12.68:0","mhdr":"BHb2","name":"NODO-02"}},"dst":{"mode":"client","raddr":"172.26.38.18:3055","mhdr":"BHb2","name":"B24 Pasarelas 2"},"plugin": {"file":"slb_plugin_rm_biciso.so","type":"RM"}}}}</v>
      </c>
    </row>
    <row r="356" spans="1:18">
      <c r="A356" s="20"/>
      <c r="B356" s="21"/>
      <c r="C356" s="21"/>
      <c r="D356" s="21"/>
      <c r="E356" s="22"/>
      <c r="F356" s="21"/>
      <c r="K356" s="21"/>
      <c r="L356" s="21"/>
      <c r="M356" s="21"/>
      <c r="N356" s="21"/>
      <c r="O356" s="21"/>
      <c r="P356" s="21"/>
      <c r="Q356" s="21"/>
      <c r="R356" s="3" t="s">
        <v>0</v>
      </c>
    </row>
    <row r="357" spans="1:18">
      <c r="A357" s="20"/>
      <c r="B357" s="1" t="s">
        <v>502</v>
      </c>
      <c r="C357" s="21"/>
      <c r="D357" s="21"/>
      <c r="E357" s="22"/>
      <c r="F357" s="21"/>
      <c r="K357" s="21"/>
      <c r="L357" s="21"/>
      <c r="M357" s="21"/>
      <c r="N357" s="21"/>
      <c r="O357" s="21"/>
      <c r="P357" s="21"/>
      <c r="Q357" s="21"/>
      <c r="R357" s="3"/>
    </row>
    <row r="358" spans="1:18">
      <c r="A358" s="1" t="s">
        <v>1</v>
      </c>
      <c r="B358" t="s">
        <v>250</v>
      </c>
    </row>
    <row r="359" spans="1:18">
      <c r="A359" s="1" t="s">
        <v>3</v>
      </c>
      <c r="B359" t="s">
        <v>251</v>
      </c>
      <c r="G359" t="s">
        <v>463</v>
      </c>
      <c r="R359" s="3"/>
    </row>
    <row r="360" spans="1:18" ht="15" thickBot="1">
      <c r="A360" s="1" t="s">
        <v>4</v>
      </c>
      <c r="B360" t="s">
        <v>252</v>
      </c>
      <c r="G360" t="s">
        <v>464</v>
      </c>
      <c r="R360" s="3"/>
    </row>
    <row r="361" spans="1:18" ht="44" thickBot="1">
      <c r="A361" s="24" t="s">
        <v>79</v>
      </c>
      <c r="B361" s="26" t="s">
        <v>9</v>
      </c>
      <c r="C361" s="26" t="s">
        <v>499</v>
      </c>
      <c r="D361" s="26" t="s">
        <v>7</v>
      </c>
      <c r="E361" s="26" t="s">
        <v>58</v>
      </c>
      <c r="F361" s="26" t="s">
        <v>27</v>
      </c>
      <c r="G361" s="26" t="s">
        <v>11</v>
      </c>
      <c r="H361" s="27" t="s">
        <v>61</v>
      </c>
      <c r="I361" s="26" t="s">
        <v>12</v>
      </c>
      <c r="J361" s="25" t="s">
        <v>15</v>
      </c>
      <c r="K361" s="31" t="s">
        <v>62</v>
      </c>
      <c r="L361" s="26" t="s">
        <v>23</v>
      </c>
      <c r="M361" s="26" t="s">
        <v>25</v>
      </c>
      <c r="N361" s="26" t="s">
        <v>24</v>
      </c>
      <c r="O361" s="26" t="s">
        <v>26</v>
      </c>
      <c r="P361" s="26" t="s">
        <v>93</v>
      </c>
      <c r="Q361" s="28" t="s">
        <v>54</v>
      </c>
      <c r="R361" s="3" t="str">
        <f>CONCATENATE("{""",B358,""":{""routers"":{")</f>
        <v>{"172.29.12.70":{"routers":{</v>
      </c>
    </row>
    <row r="362" spans="1:18" ht="15" thickBot="1">
      <c r="A362" s="9">
        <v>1</v>
      </c>
      <c r="B362" s="10" t="s">
        <v>19</v>
      </c>
      <c r="C362" s="10" t="s">
        <v>497</v>
      </c>
      <c r="D362" s="11">
        <v>1</v>
      </c>
      <c r="E362" s="11" t="s">
        <v>259</v>
      </c>
      <c r="F362" s="11" t="s">
        <v>14</v>
      </c>
      <c r="G362" s="11"/>
      <c r="H362" s="11" t="s">
        <v>55</v>
      </c>
      <c r="I362" s="11" t="s">
        <v>139</v>
      </c>
      <c r="J362" s="11">
        <v>6034</v>
      </c>
      <c r="K362" s="32" t="s">
        <v>55</v>
      </c>
      <c r="L362" s="32" t="str">
        <f>+$B$359</f>
        <v>172.29.12.71</v>
      </c>
      <c r="M362" s="32">
        <v>30005</v>
      </c>
      <c r="N362" s="32" t="str">
        <f>+$B$360</f>
        <v>172.29.12.72</v>
      </c>
      <c r="O362" s="32">
        <f t="shared" ref="O362:O393" si="63">+M362+10000</f>
        <v>40005</v>
      </c>
      <c r="P362" s="32" t="s">
        <v>141</v>
      </c>
      <c r="Q362" s="49" t="s">
        <v>95</v>
      </c>
      <c r="R362" s="3" t="str">
        <f>CONCATENATE(IF(A362&lt;&gt;"",CONCATENATE("""",A362,"""",":{","""","rules","""",":{"),""),"""",D362,""":{""type"":""con"",""dst_persist"":""n"",""src"":{""",M362,""":{""raddr"":""",L362,":0"",""mhdr"":""",K362,""",","""name""",":","""NODO-01","""},""",O362,""":{""raddr"":""",N362,":0"",""mhdr"":""",K362,""",","""name""",":","""NODO-02","""}},","""dst"":{""mode"":""",F362,""",""raddr"":""",IF(F362="server",G362,I362),":",IF(F362="server",0,J362),""",""",IF(F362="server","lport","mhdr"),""":""",IF(F362="server",J362,""),IF(F362="server"," ",""),K362,""",","""name""",":","""",B362,IF(P362&lt;&gt;"",CONCATENATE("""},","""plugin""",": {","""file""",":""",P362,""",","""type""",":","""","RM",""""),""""),Q362)</f>
        <v>"1":{"rules":{"1":{"type":"con","dst_persist":"n","src":{"30005":{"raddr":"172.29.12.71:0","mhdr":"BHb2","name":"NODO-01"},"40005":{"raddr":"172.29.12.72:0","mhdr":"BHb2","name":"NODO-02"}},"dst":{"mode":"client","raddr":"172.26.119.75:6034","mhdr":"BHb2","name":"MASTERCARD BNET PT Out 1"},"plugin": {"file":"slb_plugin_rm_mc.so","type":"RM"}},</v>
      </c>
    </row>
    <row r="363" spans="1:18" ht="15" thickBot="1">
      <c r="A363" s="12"/>
      <c r="B363" s="2" t="s">
        <v>21</v>
      </c>
      <c r="C363" s="2" t="s">
        <v>497</v>
      </c>
      <c r="D363" s="6">
        <v>2</v>
      </c>
      <c r="E363" s="6" t="s">
        <v>260</v>
      </c>
      <c r="F363" s="6" t="s">
        <v>14</v>
      </c>
      <c r="G363" s="6"/>
      <c r="H363" s="6" t="s">
        <v>55</v>
      </c>
      <c r="I363" s="6" t="s">
        <v>140</v>
      </c>
      <c r="J363" s="6">
        <v>7034</v>
      </c>
      <c r="K363" s="33" t="s">
        <v>55</v>
      </c>
      <c r="L363" s="32" t="str">
        <f t="shared" ref="L363:L422" si="64">+$B$359</f>
        <v>172.29.12.71</v>
      </c>
      <c r="M363" s="33">
        <v>30006</v>
      </c>
      <c r="N363" s="32" t="str">
        <f t="shared" ref="N363:N422" si="65">+$B$360</f>
        <v>172.29.12.72</v>
      </c>
      <c r="O363" s="33">
        <f t="shared" si="63"/>
        <v>40006</v>
      </c>
      <c r="P363" s="33" t="s">
        <v>141</v>
      </c>
      <c r="Q363" s="34" t="s">
        <v>95</v>
      </c>
      <c r="R363" s="3" t="str">
        <f t="shared" ref="R363:R426" si="66">CONCATENATE(IF(A363&lt;&gt;"",CONCATENATE("""",A363,"""",":{","""","rules","""",":{"),""),"""",D363,""":{""type"":""con"",""dst_persist"":""n"",""src"":{""",M363,""":{""raddr"":""",L363,":0"",""mhdr"":""",K363,""",","""name""",":","""NODO-01","""},""",O363,""":{""raddr"":""",N363,":0"",""mhdr"":""",K363,""",","""name""",":","""NODO-02","""}},","""dst"":{""mode"":""",F363,""",""raddr"":""",IF(F363="server",G363,I363),":",IF(F363="server",0,J363),""",""",IF(F363="server","lport","mhdr"),""":""",IF(F363="server",J363,""),IF(F363="server"," ",""),K363,""",","""name""",":","""",B363,IF(P363&lt;&gt;"",CONCATENATE("""},","""plugin""",": {","""file""",":""",P363,""",","""type""",":","""","RM",""""),""""),Q363)</f>
        <v>"2":{"type":"con","dst_persist":"n","src":{"30006":{"raddr":"172.29.12.71:0","mhdr":"BHb2","name":"NODO-01"},"40006":{"raddr":"172.29.12.72:0","mhdr":"BHb2","name":"NODO-02"}},"dst":{"mode":"client","raddr":"172.26.119.76:7034","mhdr":"BHb2","name":"MASTERCARD BNET PT Out 2"},"plugin": {"file":"slb_plugin_rm_mc.so","type":"RM"}},</v>
      </c>
    </row>
    <row r="364" spans="1:18" ht="15" thickBot="1">
      <c r="A364" s="12"/>
      <c r="B364" s="2" t="s">
        <v>137</v>
      </c>
      <c r="C364" s="2" t="s">
        <v>497</v>
      </c>
      <c r="D364" s="6">
        <v>3</v>
      </c>
      <c r="E364" s="6" t="s">
        <v>262</v>
      </c>
      <c r="F364" s="6" t="s">
        <v>14</v>
      </c>
      <c r="G364" s="6"/>
      <c r="H364" s="6" t="s">
        <v>55</v>
      </c>
      <c r="I364" s="6" t="s">
        <v>139</v>
      </c>
      <c r="J364" s="6">
        <v>6005</v>
      </c>
      <c r="K364" s="33" t="s">
        <v>55</v>
      </c>
      <c r="L364" s="32" t="str">
        <f t="shared" si="64"/>
        <v>172.29.12.71</v>
      </c>
      <c r="M364" s="33">
        <v>30007</v>
      </c>
      <c r="N364" s="32" t="str">
        <f t="shared" si="65"/>
        <v>172.29.12.72</v>
      </c>
      <c r="O364" s="33">
        <f t="shared" si="63"/>
        <v>40007</v>
      </c>
      <c r="P364" s="33" t="s">
        <v>141</v>
      </c>
      <c r="Q364" s="34" t="s">
        <v>95</v>
      </c>
      <c r="R364" s="3" t="str">
        <f t="shared" si="66"/>
        <v>"3":{"type":"con","dst_persist":"n","src":{"30007":{"raddr":"172.29.12.71:0","mhdr":"BHb2","name":"NODO-01"},"40007":{"raddr":"172.29.12.72:0","mhdr":"BHb2","name":"NODO-02"}},"dst":{"mode":"client","raddr":"172.26.119.75:6005","mhdr":"BHb2","name":"MASTERCARD MDS NEW PT Out 1"},"plugin": {"file":"slb_plugin_rm_mc.so","type":"RM"}},</v>
      </c>
    </row>
    <row r="365" spans="1:18" ht="15" thickBot="1">
      <c r="A365" s="13"/>
      <c r="B365" s="14" t="s">
        <v>138</v>
      </c>
      <c r="C365" s="14" t="s">
        <v>497</v>
      </c>
      <c r="D365" s="15">
        <v>4</v>
      </c>
      <c r="E365" s="15" t="s">
        <v>261</v>
      </c>
      <c r="F365" s="15" t="s">
        <v>14</v>
      </c>
      <c r="G365" s="15"/>
      <c r="H365" s="15" t="s">
        <v>55</v>
      </c>
      <c r="I365" s="15" t="s">
        <v>140</v>
      </c>
      <c r="J365" s="15">
        <v>7005</v>
      </c>
      <c r="K365" s="35" t="s">
        <v>55</v>
      </c>
      <c r="L365" s="32" t="str">
        <f t="shared" si="64"/>
        <v>172.29.12.71</v>
      </c>
      <c r="M365" s="35">
        <v>30008</v>
      </c>
      <c r="N365" s="32" t="str">
        <f t="shared" si="65"/>
        <v>172.29.12.72</v>
      </c>
      <c r="O365" s="35">
        <f t="shared" si="63"/>
        <v>40008</v>
      </c>
      <c r="P365" s="35" t="s">
        <v>141</v>
      </c>
      <c r="Q365" s="36" t="s">
        <v>96</v>
      </c>
      <c r="R365" s="3" t="str">
        <f t="shared" si="66"/>
        <v>"4":{"type":"con","dst_persist":"n","src":{"30008":{"raddr":"172.29.12.71:0","mhdr":"BHb2","name":"NODO-01"},"40008":{"raddr":"172.29.12.72:0","mhdr":"BHb2","name":"NODO-02"}},"dst":{"mode":"client","raddr":"172.26.119.76:7005","mhdr":"BHb2","name":"MASTERCARD MDS NEW PT Out 2"},"plugin": {"file":"slb_plugin_rm_mc.so","type":"RM"}}}},</v>
      </c>
    </row>
    <row r="366" spans="1:18" ht="15" thickBot="1">
      <c r="A366" s="9">
        <v>2</v>
      </c>
      <c r="B366" s="10" t="s">
        <v>133</v>
      </c>
      <c r="C366" s="10" t="s">
        <v>496</v>
      </c>
      <c r="D366" s="11">
        <v>1</v>
      </c>
      <c r="E366" s="11" t="s">
        <v>263</v>
      </c>
      <c r="F366" s="11" t="s">
        <v>8</v>
      </c>
      <c r="G366" s="11" t="s">
        <v>516</v>
      </c>
      <c r="H366" s="11" t="s">
        <v>437</v>
      </c>
      <c r="I366" s="11"/>
      <c r="J366" s="11">
        <v>35903</v>
      </c>
      <c r="K366" s="32" t="s">
        <v>437</v>
      </c>
      <c r="L366" s="32" t="str">
        <f t="shared" si="64"/>
        <v>172.29.12.71</v>
      </c>
      <c r="M366" s="32">
        <v>30010</v>
      </c>
      <c r="N366" s="32" t="str">
        <f t="shared" si="65"/>
        <v>172.29.12.72</v>
      </c>
      <c r="O366" s="32">
        <f t="shared" si="63"/>
        <v>40010</v>
      </c>
      <c r="P366" s="32" t="s">
        <v>136</v>
      </c>
      <c r="Q366" s="49" t="s">
        <v>95</v>
      </c>
      <c r="R366" s="3" t="str">
        <f t="shared" si="66"/>
        <v>"2":{"rules":{"1":{"type":"con","dst_persist":"n","src":{"30010":{"raddr":"172.29.12.71:0","mhdr":"iBHb2","name":"NODO-01"},"40010":{"raddr":"172.29.12.72:0","mhdr":"iBHb2","name":"NODO-02"}},"dst":{"mode":"server","raddr":"172.19.207.40x:0","lport":"35903 iBHb2","name":"AMEX COLPATRIA PT In 1"},"plugin": {"file":"slb_plugin_rm_amex.so","type":"RM"}},</v>
      </c>
    </row>
    <row r="367" spans="1:18" ht="15" thickBot="1">
      <c r="A367" s="12"/>
      <c r="B367" s="2" t="s">
        <v>134</v>
      </c>
      <c r="C367" s="2" t="s">
        <v>496</v>
      </c>
      <c r="D367" s="6">
        <v>2</v>
      </c>
      <c r="E367" s="6" t="s">
        <v>264</v>
      </c>
      <c r="F367" s="6" t="s">
        <v>8</v>
      </c>
      <c r="G367" s="6" t="s">
        <v>516</v>
      </c>
      <c r="H367" s="6" t="s">
        <v>437</v>
      </c>
      <c r="I367" s="6"/>
      <c r="J367" s="6">
        <v>35904</v>
      </c>
      <c r="K367" s="33" t="s">
        <v>437</v>
      </c>
      <c r="L367" s="32" t="str">
        <f t="shared" si="64"/>
        <v>172.29.12.71</v>
      </c>
      <c r="M367" s="33">
        <v>30020</v>
      </c>
      <c r="N367" s="32" t="str">
        <f t="shared" si="65"/>
        <v>172.29.12.72</v>
      </c>
      <c r="O367" s="33">
        <f t="shared" si="63"/>
        <v>40020</v>
      </c>
      <c r="P367" s="33" t="s">
        <v>136</v>
      </c>
      <c r="Q367" s="34" t="s">
        <v>95</v>
      </c>
      <c r="R367" s="3" t="str">
        <f t="shared" si="66"/>
        <v>"2":{"type":"con","dst_persist":"n","src":{"30020":{"raddr":"172.29.12.71:0","mhdr":"iBHb2","name":"NODO-01"},"40020":{"raddr":"172.29.12.72:0","mhdr":"iBHb2","name":"NODO-02"}},"dst":{"mode":"server","raddr":"172.19.207.40x:0","lport":"35904 iBHb2","name":"AMEX COLPATRIA PT In 2"},"plugin": {"file":"slb_plugin_rm_amex.so","type":"RM"}},</v>
      </c>
    </row>
    <row r="368" spans="1:18" ht="15" thickBot="1">
      <c r="A368" s="12"/>
      <c r="B368" s="2" t="s">
        <v>32</v>
      </c>
      <c r="C368" s="2" t="s">
        <v>496</v>
      </c>
      <c r="D368" s="6">
        <v>3</v>
      </c>
      <c r="E368" s="6" t="s">
        <v>265</v>
      </c>
      <c r="F368" s="6" t="s">
        <v>14</v>
      </c>
      <c r="G368" s="6"/>
      <c r="H368" s="6" t="s">
        <v>437</v>
      </c>
      <c r="I368" s="6" t="s">
        <v>135</v>
      </c>
      <c r="J368" s="6">
        <v>35903</v>
      </c>
      <c r="K368" s="33" t="s">
        <v>437</v>
      </c>
      <c r="L368" s="32" t="str">
        <f t="shared" si="64"/>
        <v>172.29.12.71</v>
      </c>
      <c r="M368" s="33">
        <v>30070</v>
      </c>
      <c r="N368" s="32" t="str">
        <f t="shared" si="65"/>
        <v>172.29.12.72</v>
      </c>
      <c r="O368" s="33">
        <f t="shared" si="63"/>
        <v>40070</v>
      </c>
      <c r="P368" s="33" t="s">
        <v>136</v>
      </c>
      <c r="Q368" s="34" t="s">
        <v>95</v>
      </c>
      <c r="R368" s="3" t="str">
        <f t="shared" si="66"/>
        <v>"3":{"type":"con","dst_persist":"n","src":{"30070":{"raddr":"172.29.12.71:0","mhdr":"iBHb2","name":"NODO-01"},"40070":{"raddr":"172.29.12.72:0","mhdr":"iBHb2","name":"NODO-02"}},"dst":{"mode":"client","raddr":"172.19.209.58:35903","mhdr":"iBHb2","name":"AMEX COLPATRIA PT Out 1"},"plugin": {"file":"slb_plugin_rm_amex.so","type":"RM"}},</v>
      </c>
    </row>
    <row r="369" spans="1:18" ht="15" thickBot="1">
      <c r="A369" s="13"/>
      <c r="B369" s="14" t="s">
        <v>33</v>
      </c>
      <c r="C369" s="14" t="s">
        <v>496</v>
      </c>
      <c r="D369" s="15">
        <v>4</v>
      </c>
      <c r="E369" s="15" t="s">
        <v>266</v>
      </c>
      <c r="F369" s="15" t="s">
        <v>14</v>
      </c>
      <c r="G369" s="15"/>
      <c r="H369" s="15" t="s">
        <v>437</v>
      </c>
      <c r="I369" s="15" t="s">
        <v>135</v>
      </c>
      <c r="J369" s="15">
        <v>35904</v>
      </c>
      <c r="K369" s="35" t="s">
        <v>437</v>
      </c>
      <c r="L369" s="32" t="str">
        <f t="shared" si="64"/>
        <v>172.29.12.71</v>
      </c>
      <c r="M369" s="35">
        <v>30080</v>
      </c>
      <c r="N369" s="32" t="str">
        <f t="shared" si="65"/>
        <v>172.29.12.72</v>
      </c>
      <c r="O369" s="35">
        <f t="shared" si="63"/>
        <v>40080</v>
      </c>
      <c r="P369" s="35" t="s">
        <v>136</v>
      </c>
      <c r="Q369" s="36" t="s">
        <v>96</v>
      </c>
      <c r="R369" s="3" t="str">
        <f t="shared" si="66"/>
        <v>"4":{"type":"con","dst_persist":"n","src":{"30080":{"raddr":"172.29.12.71:0","mhdr":"iBHb2","name":"NODO-01"},"40080":{"raddr":"172.29.12.72:0","mhdr":"iBHb2","name":"NODO-02"}},"dst":{"mode":"client","raddr":"172.19.209.58:35904","mhdr":"iBHb2","name":"AMEX COLPATRIA PT Out 2"},"plugin": {"file":"slb_plugin_rm_amex.so","type":"RM"}}}},</v>
      </c>
    </row>
    <row r="370" spans="1:18" ht="15" thickBot="1">
      <c r="A370" s="47">
        <v>3</v>
      </c>
      <c r="B370" s="23" t="s">
        <v>28</v>
      </c>
      <c r="C370" s="23" t="s">
        <v>496</v>
      </c>
      <c r="D370" s="11">
        <v>1</v>
      </c>
      <c r="E370" s="11" t="s">
        <v>255</v>
      </c>
      <c r="F370" s="11" t="s">
        <v>8</v>
      </c>
      <c r="G370" s="11" t="s">
        <v>13</v>
      </c>
      <c r="H370" s="11" t="s">
        <v>437</v>
      </c>
      <c r="I370" s="11"/>
      <c r="J370" s="11">
        <v>35168</v>
      </c>
      <c r="K370" s="32" t="s">
        <v>437</v>
      </c>
      <c r="L370" s="32" t="str">
        <f t="shared" si="64"/>
        <v>172.29.12.71</v>
      </c>
      <c r="M370" s="32">
        <v>30030</v>
      </c>
      <c r="N370" s="32" t="str">
        <f t="shared" si="65"/>
        <v>172.29.12.72</v>
      </c>
      <c r="O370" s="32">
        <f t="shared" si="63"/>
        <v>40030</v>
      </c>
      <c r="P370" s="32" t="s">
        <v>136</v>
      </c>
      <c r="Q370" s="49" t="s">
        <v>95</v>
      </c>
      <c r="R370" s="3" t="str">
        <f t="shared" si="66"/>
        <v>"3":{"rules":{"1":{"type":"con","dst_persist":"n","src":{"30030":{"raddr":"172.29.12.71:0","mhdr":"iBHb2","name":"NODO-01"},"40030":{"raddr":"172.29.12.72:0","mhdr":"iBHb2","name":"NODO-02"}},"dst":{"mode":"server","raddr":"172.19.207.40:0","lport":"35168 iBHb2","name":"AMEX BANCOLOMBIA EMISOR PT In 1"},"plugin": {"file":"slb_plugin_rm_amex.so","type":"RM"}},</v>
      </c>
    </row>
    <row r="371" spans="1:18" ht="15" thickBot="1">
      <c r="A371" s="30"/>
      <c r="B371" s="7" t="s">
        <v>29</v>
      </c>
      <c r="C371" s="7" t="s">
        <v>496</v>
      </c>
      <c r="D371" s="6">
        <v>2</v>
      </c>
      <c r="E371" s="6" t="s">
        <v>256</v>
      </c>
      <c r="F371" s="6" t="s">
        <v>8</v>
      </c>
      <c r="G371" s="6" t="s">
        <v>13</v>
      </c>
      <c r="H371" s="6" t="s">
        <v>437</v>
      </c>
      <c r="I371" s="6"/>
      <c r="J371" s="6">
        <v>35169</v>
      </c>
      <c r="K371" s="33" t="s">
        <v>437</v>
      </c>
      <c r="L371" s="32" t="str">
        <f t="shared" si="64"/>
        <v>172.29.12.71</v>
      </c>
      <c r="M371" s="33">
        <v>30040</v>
      </c>
      <c r="N371" s="32" t="str">
        <f t="shared" si="65"/>
        <v>172.29.12.72</v>
      </c>
      <c r="O371" s="33">
        <f t="shared" si="63"/>
        <v>40040</v>
      </c>
      <c r="P371" s="33" t="s">
        <v>136</v>
      </c>
      <c r="Q371" s="34" t="s">
        <v>95</v>
      </c>
      <c r="R371" s="3" t="str">
        <f t="shared" si="66"/>
        <v>"2":{"type":"con","dst_persist":"n","src":{"30040":{"raddr":"172.29.12.71:0","mhdr":"iBHb2","name":"NODO-01"},"40040":{"raddr":"172.29.12.72:0","mhdr":"iBHb2","name":"NODO-02"}},"dst":{"mode":"server","raddr":"172.19.207.40:0","lport":"35169 iBHb2","name":"AMEX BANCOLOMBIA EMISOR PT In 2"},"plugin": {"file":"slb_plugin_rm_amex.so","type":"RM"}},</v>
      </c>
    </row>
    <row r="372" spans="1:18" ht="15" thickBot="1">
      <c r="A372" s="30"/>
      <c r="B372" s="7" t="s">
        <v>30</v>
      </c>
      <c r="C372" s="7" t="s">
        <v>496</v>
      </c>
      <c r="D372" s="6">
        <v>3</v>
      </c>
      <c r="E372" s="8" t="s">
        <v>257</v>
      </c>
      <c r="F372" s="8" t="s">
        <v>8</v>
      </c>
      <c r="G372" s="6" t="s">
        <v>13</v>
      </c>
      <c r="H372" s="6" t="s">
        <v>437</v>
      </c>
      <c r="I372" s="8"/>
      <c r="J372" s="8">
        <v>30094</v>
      </c>
      <c r="K372" s="33" t="s">
        <v>437</v>
      </c>
      <c r="L372" s="32" t="str">
        <f t="shared" si="64"/>
        <v>172.29.12.71</v>
      </c>
      <c r="M372" s="33">
        <v>30050</v>
      </c>
      <c r="N372" s="32" t="str">
        <f t="shared" si="65"/>
        <v>172.29.12.72</v>
      </c>
      <c r="O372" s="33">
        <f t="shared" si="63"/>
        <v>40050</v>
      </c>
      <c r="P372" s="33" t="s">
        <v>136</v>
      </c>
      <c r="Q372" s="34" t="s">
        <v>95</v>
      </c>
      <c r="R372" s="3" t="str">
        <f t="shared" si="66"/>
        <v>"3":{"type":"con","dst_persist":"n","src":{"30050":{"raddr":"172.29.12.71:0","mhdr":"iBHb2","name":"NODO-01"},"40050":{"raddr":"172.29.12.72:0","mhdr":"iBHb2","name":"NODO-02"}},"dst":{"mode":"server","raddr":"172.19.207.40:0","lport":"30094 iBHb2","name":"AMEX BANCOLOMBIA ADQUIRIENTE PT In 1"},"plugin": {"file":"slb_plugin_rm_amex.so","type":"RM"}},</v>
      </c>
    </row>
    <row r="373" spans="1:18" ht="15" thickBot="1">
      <c r="A373" s="30"/>
      <c r="B373" s="7" t="s">
        <v>31</v>
      </c>
      <c r="C373" s="7" t="s">
        <v>496</v>
      </c>
      <c r="D373" s="6">
        <v>4</v>
      </c>
      <c r="E373" s="8" t="s">
        <v>258</v>
      </c>
      <c r="F373" s="8" t="s">
        <v>8</v>
      </c>
      <c r="G373" s="6" t="s">
        <v>13</v>
      </c>
      <c r="H373" s="6" t="s">
        <v>437</v>
      </c>
      <c r="I373" s="8"/>
      <c r="J373" s="8">
        <v>30095</v>
      </c>
      <c r="K373" s="33" t="s">
        <v>437</v>
      </c>
      <c r="L373" s="32" t="str">
        <f t="shared" si="64"/>
        <v>172.29.12.71</v>
      </c>
      <c r="M373" s="33">
        <v>30060</v>
      </c>
      <c r="N373" s="32" t="str">
        <f t="shared" si="65"/>
        <v>172.29.12.72</v>
      </c>
      <c r="O373" s="33">
        <f t="shared" si="63"/>
        <v>40060</v>
      </c>
      <c r="P373" s="33" t="s">
        <v>136</v>
      </c>
      <c r="Q373" s="34" t="s">
        <v>95</v>
      </c>
      <c r="R373" s="3" t="str">
        <f t="shared" si="66"/>
        <v>"4":{"type":"con","dst_persist":"n","src":{"30060":{"raddr":"172.29.12.71:0","mhdr":"iBHb2","name":"NODO-01"},"40060":{"raddr":"172.29.12.72:0","mhdr":"iBHb2","name":"NODO-02"}},"dst":{"mode":"server","raddr":"172.19.207.40:0","lport":"30095 iBHb2","name":"AMEX BANCOLOMBIA ADQUIRIENTE PT In 2"},"plugin": {"file":"slb_plugin_rm_amex.so","type":"RM"}},</v>
      </c>
    </row>
    <row r="374" spans="1:18" ht="15" thickBot="1">
      <c r="A374" s="30"/>
      <c r="B374" s="7" t="s">
        <v>34</v>
      </c>
      <c r="C374" s="7" t="s">
        <v>496</v>
      </c>
      <c r="D374" s="6">
        <v>5</v>
      </c>
      <c r="E374" s="8" t="s">
        <v>267</v>
      </c>
      <c r="F374" s="8" t="s">
        <v>14</v>
      </c>
      <c r="G374" s="8"/>
      <c r="H374" s="8" t="s">
        <v>437</v>
      </c>
      <c r="I374" s="8" t="s">
        <v>135</v>
      </c>
      <c r="J374" s="6">
        <v>35168</v>
      </c>
      <c r="K374" s="33" t="s">
        <v>437</v>
      </c>
      <c r="L374" s="32" t="str">
        <f t="shared" si="64"/>
        <v>172.29.12.71</v>
      </c>
      <c r="M374" s="33">
        <v>30090</v>
      </c>
      <c r="N374" s="32" t="str">
        <f t="shared" si="65"/>
        <v>172.29.12.72</v>
      </c>
      <c r="O374" s="33">
        <f t="shared" si="63"/>
        <v>40090</v>
      </c>
      <c r="P374" s="33" t="s">
        <v>136</v>
      </c>
      <c r="Q374" s="34" t="s">
        <v>95</v>
      </c>
      <c r="R374" s="3" t="str">
        <f t="shared" si="66"/>
        <v>"5":{"type":"con","dst_persist":"n","src":{"30090":{"raddr":"172.29.12.71:0","mhdr":"iBHb2","name":"NODO-01"},"40090":{"raddr":"172.29.12.72:0","mhdr":"iBHb2","name":"NODO-02"}},"dst":{"mode":"client","raddr":"172.19.209.58:35168","mhdr":"iBHb2","name":"AMEX BANCOLOMBIA EMISOR PT Out 1"},"plugin": {"file":"slb_plugin_rm_amex.so","type":"RM"}},</v>
      </c>
    </row>
    <row r="375" spans="1:18" ht="15" thickBot="1">
      <c r="A375" s="30"/>
      <c r="B375" s="7" t="s">
        <v>35</v>
      </c>
      <c r="C375" s="7" t="s">
        <v>496</v>
      </c>
      <c r="D375" s="6">
        <v>6</v>
      </c>
      <c r="E375" s="8" t="s">
        <v>268</v>
      </c>
      <c r="F375" s="8" t="s">
        <v>14</v>
      </c>
      <c r="G375" s="8"/>
      <c r="H375" s="8" t="s">
        <v>437</v>
      </c>
      <c r="I375" s="8" t="s">
        <v>135</v>
      </c>
      <c r="J375" s="6">
        <v>35169</v>
      </c>
      <c r="K375" s="33" t="s">
        <v>437</v>
      </c>
      <c r="L375" s="32" t="str">
        <f t="shared" si="64"/>
        <v>172.29.12.71</v>
      </c>
      <c r="M375" s="33">
        <v>30100</v>
      </c>
      <c r="N375" s="32" t="str">
        <f t="shared" si="65"/>
        <v>172.29.12.72</v>
      </c>
      <c r="O375" s="33">
        <f t="shared" si="63"/>
        <v>40100</v>
      </c>
      <c r="P375" s="33" t="s">
        <v>136</v>
      </c>
      <c r="Q375" s="34" t="s">
        <v>95</v>
      </c>
      <c r="R375" s="3" t="str">
        <f t="shared" si="66"/>
        <v>"6":{"type":"con","dst_persist":"n","src":{"30100":{"raddr":"172.29.12.71:0","mhdr":"iBHb2","name":"NODO-01"},"40100":{"raddr":"172.29.12.72:0","mhdr":"iBHb2","name":"NODO-02"}},"dst":{"mode":"client","raddr":"172.19.209.58:35169","mhdr":"iBHb2","name":"AMEX BANCOLOMBIA EMISOR PT Out 2"},"plugin": {"file":"slb_plugin_rm_amex.so","type":"RM"}},</v>
      </c>
    </row>
    <row r="376" spans="1:18" ht="15" thickBot="1">
      <c r="A376" s="30"/>
      <c r="B376" s="7" t="s">
        <v>36</v>
      </c>
      <c r="C376" s="7" t="s">
        <v>496</v>
      </c>
      <c r="D376" s="6">
        <v>7</v>
      </c>
      <c r="E376" s="8" t="s">
        <v>269</v>
      </c>
      <c r="F376" s="8" t="s">
        <v>14</v>
      </c>
      <c r="G376" s="8"/>
      <c r="H376" s="8" t="s">
        <v>437</v>
      </c>
      <c r="I376" s="8" t="s">
        <v>135</v>
      </c>
      <c r="J376" s="8">
        <v>30094</v>
      </c>
      <c r="K376" s="33" t="s">
        <v>437</v>
      </c>
      <c r="L376" s="32" t="str">
        <f t="shared" si="64"/>
        <v>172.29.12.71</v>
      </c>
      <c r="M376" s="33">
        <v>30110</v>
      </c>
      <c r="N376" s="32" t="str">
        <f t="shared" si="65"/>
        <v>172.29.12.72</v>
      </c>
      <c r="O376" s="33">
        <f t="shared" si="63"/>
        <v>40110</v>
      </c>
      <c r="P376" s="33" t="s">
        <v>136</v>
      </c>
      <c r="Q376" s="34" t="s">
        <v>95</v>
      </c>
      <c r="R376" s="3" t="str">
        <f t="shared" si="66"/>
        <v>"7":{"type":"con","dst_persist":"n","src":{"30110":{"raddr":"172.29.12.71:0","mhdr":"iBHb2","name":"NODO-01"},"40110":{"raddr":"172.29.12.72:0","mhdr":"iBHb2","name":"NODO-02"}},"dst":{"mode":"client","raddr":"172.19.209.58:30094","mhdr":"iBHb2","name":"AMEX BANCOLOMBIA ADQUIRIENTE PT Out 1"},"plugin": {"file":"slb_plugin_rm_amex.so","type":"RM"}},</v>
      </c>
    </row>
    <row r="377" spans="1:18" ht="15" thickBot="1">
      <c r="A377" s="40"/>
      <c r="B377" s="16" t="s">
        <v>37</v>
      </c>
      <c r="C377" s="16" t="s">
        <v>496</v>
      </c>
      <c r="D377" s="15">
        <v>8</v>
      </c>
      <c r="E377" s="17" t="s">
        <v>270</v>
      </c>
      <c r="F377" s="17" t="s">
        <v>14</v>
      </c>
      <c r="G377" s="17"/>
      <c r="H377" s="17" t="s">
        <v>437</v>
      </c>
      <c r="I377" s="17" t="s">
        <v>135</v>
      </c>
      <c r="J377" s="17">
        <v>30095</v>
      </c>
      <c r="K377" s="35" t="s">
        <v>437</v>
      </c>
      <c r="L377" s="32" t="str">
        <f t="shared" si="64"/>
        <v>172.29.12.71</v>
      </c>
      <c r="M377" s="35">
        <v>30120</v>
      </c>
      <c r="N377" s="32" t="str">
        <f t="shared" si="65"/>
        <v>172.29.12.72</v>
      </c>
      <c r="O377" s="35">
        <f t="shared" si="63"/>
        <v>40120</v>
      </c>
      <c r="P377" s="35" t="s">
        <v>136</v>
      </c>
      <c r="Q377" s="36" t="s">
        <v>96</v>
      </c>
      <c r="R377" s="3" t="str">
        <f t="shared" si="66"/>
        <v>"8":{"type":"con","dst_persist":"n","src":{"30120":{"raddr":"172.29.12.71:0","mhdr":"iBHb2","name":"NODO-01"},"40120":{"raddr":"172.29.12.72:0","mhdr":"iBHb2","name":"NODO-02"}},"dst":{"mode":"client","raddr":"172.19.209.58:30095","mhdr":"iBHb2","name":"AMEX BANCOLOMBIA ADQUIRIENTE PT Out 2"},"plugin": {"file":"slb_plugin_rm_amex.so","type":"RM"}}}},</v>
      </c>
    </row>
    <row r="378" spans="1:18" ht="15" thickBot="1">
      <c r="A378" s="47">
        <v>4</v>
      </c>
      <c r="B378" s="23" t="s">
        <v>40</v>
      </c>
      <c r="C378" s="23" t="s">
        <v>497</v>
      </c>
      <c r="D378" s="29">
        <v>1</v>
      </c>
      <c r="E378" s="29" t="s">
        <v>213</v>
      </c>
      <c r="F378" s="29" t="s">
        <v>8</v>
      </c>
      <c r="G378" s="29" t="s">
        <v>13</v>
      </c>
      <c r="H378" s="29" t="s">
        <v>437</v>
      </c>
      <c r="I378" s="29"/>
      <c r="J378" s="29">
        <v>12606</v>
      </c>
      <c r="K378" s="32" t="s">
        <v>437</v>
      </c>
      <c r="L378" s="32" t="str">
        <f t="shared" si="64"/>
        <v>172.29.12.71</v>
      </c>
      <c r="M378" s="32">
        <v>30150</v>
      </c>
      <c r="N378" s="32" t="str">
        <f t="shared" si="65"/>
        <v>172.29.12.72</v>
      </c>
      <c r="O378" s="32">
        <f t="shared" si="63"/>
        <v>40150</v>
      </c>
      <c r="P378" s="32" t="s">
        <v>94</v>
      </c>
      <c r="Q378" s="49" t="s">
        <v>95</v>
      </c>
      <c r="R378" s="3" t="str">
        <f t="shared" si="66"/>
        <v>"4":{"rules":{"1":{"type":"con","dst_persist":"n","src":{"30150":{"raddr":"172.29.12.71:0","mhdr":"iBHb2","name":"NODO-01"},"40150":{"raddr":"172.29.12.72:0","mhdr":"iBHb2","name":"NODO-02"}},"dst":{"mode":"server","raddr":"172.19.207.40:0","lport":"12606 iBHb2","name":"RBM (B24-SV) ADQUIRIENTE PT In"},"plugin": {"file":"slb_plugin_rm_biciso.so","type":"RM"}},</v>
      </c>
    </row>
    <row r="379" spans="1:18" ht="15" thickBot="1">
      <c r="A379" s="30"/>
      <c r="B379" s="7" t="s">
        <v>41</v>
      </c>
      <c r="C379" s="7" t="s">
        <v>497</v>
      </c>
      <c r="D379" s="8">
        <v>2</v>
      </c>
      <c r="E379" s="8" t="s">
        <v>214</v>
      </c>
      <c r="F379" s="8" t="s">
        <v>14</v>
      </c>
      <c r="G379" s="8"/>
      <c r="H379" s="8" t="s">
        <v>437</v>
      </c>
      <c r="I379" s="8" t="s">
        <v>13</v>
      </c>
      <c r="J379" s="8">
        <v>3011</v>
      </c>
      <c r="K379" s="33" t="s">
        <v>437</v>
      </c>
      <c r="L379" s="32" t="str">
        <f t="shared" si="64"/>
        <v>172.29.12.71</v>
      </c>
      <c r="M379" s="33">
        <v>30160</v>
      </c>
      <c r="N379" s="32" t="str">
        <f t="shared" si="65"/>
        <v>172.29.12.72</v>
      </c>
      <c r="O379" s="33">
        <f t="shared" si="63"/>
        <v>40160</v>
      </c>
      <c r="P379" s="33" t="s">
        <v>94</v>
      </c>
      <c r="Q379" s="34" t="s">
        <v>95</v>
      </c>
      <c r="R379" s="3" t="str">
        <f t="shared" si="66"/>
        <v>"2":{"type":"con","dst_persist":"n","src":{"30160":{"raddr":"172.29.12.71:0","mhdr":"iBHb2","name":"NODO-01"},"40160":{"raddr":"172.29.12.72:0","mhdr":"iBHb2","name":"NODO-02"}},"dst":{"mode":"client","raddr":"172.19.207.40:3011","mhdr":"iBHb2","name":"RBM (B24-SV) ADQUIRIENTE PT Out"},"plugin": {"file":"slb_plugin_rm_biciso.so","type":"RM"}},</v>
      </c>
    </row>
    <row r="380" spans="1:18" ht="15" thickBot="1">
      <c r="A380" s="30"/>
      <c r="B380" s="7" t="s">
        <v>44</v>
      </c>
      <c r="C380" s="7" t="s">
        <v>497</v>
      </c>
      <c r="D380" s="8">
        <v>3</v>
      </c>
      <c r="E380" s="8" t="s">
        <v>215</v>
      </c>
      <c r="F380" s="8" t="s">
        <v>14</v>
      </c>
      <c r="G380" s="8"/>
      <c r="H380" s="8" t="s">
        <v>437</v>
      </c>
      <c r="I380" s="8" t="s">
        <v>57</v>
      </c>
      <c r="J380" s="8">
        <v>12606</v>
      </c>
      <c r="K380" s="33" t="s">
        <v>437</v>
      </c>
      <c r="L380" s="32" t="str">
        <f t="shared" si="64"/>
        <v>172.29.12.71</v>
      </c>
      <c r="M380" s="33">
        <v>30190</v>
      </c>
      <c r="N380" s="32" t="str">
        <f t="shared" si="65"/>
        <v>172.29.12.72</v>
      </c>
      <c r="O380" s="33">
        <f t="shared" si="63"/>
        <v>40190</v>
      </c>
      <c r="P380" s="33" t="s">
        <v>94</v>
      </c>
      <c r="Q380" s="34" t="s">
        <v>95</v>
      </c>
      <c r="R380" s="3" t="str">
        <f t="shared" si="66"/>
        <v>"3":{"type":"con","dst_persist":"n","src":{"30190":{"raddr":"172.29.12.71:0","mhdr":"iBHb2","name":"NODO-01"},"40190":{"raddr":"172.29.12.72:0","mhdr":"iBHb2","name":"NODO-02"}},"dst":{"mode":"client","raddr":"172.17.96.1:12606","mhdr":"iBHb2","name":"RBM (SV-RBM) ADQUIRIENTE PT Out"},"plugin": {"file":"slb_plugin_rm_biciso.so","type":"RM"}},</v>
      </c>
    </row>
    <row r="381" spans="1:18" ht="15" thickBot="1">
      <c r="A381" s="30"/>
      <c r="B381" s="7" t="s">
        <v>45</v>
      </c>
      <c r="C381" s="7" t="s">
        <v>497</v>
      </c>
      <c r="D381" s="8">
        <v>4</v>
      </c>
      <c r="E381" s="8" t="s">
        <v>216</v>
      </c>
      <c r="F381" s="8" t="s">
        <v>8</v>
      </c>
      <c r="G381" s="8" t="s">
        <v>57</v>
      </c>
      <c r="H381" s="8" t="s">
        <v>437</v>
      </c>
      <c r="I381" s="8"/>
      <c r="J381" s="8">
        <v>3111</v>
      </c>
      <c r="K381" s="33" t="s">
        <v>437</v>
      </c>
      <c r="L381" s="32" t="str">
        <f t="shared" si="64"/>
        <v>172.29.12.71</v>
      </c>
      <c r="M381" s="33">
        <v>30200</v>
      </c>
      <c r="N381" s="32" t="str">
        <f t="shared" si="65"/>
        <v>172.29.12.72</v>
      </c>
      <c r="O381" s="33">
        <f t="shared" si="63"/>
        <v>40200</v>
      </c>
      <c r="P381" s="33" t="s">
        <v>94</v>
      </c>
      <c r="Q381" s="34" t="s">
        <v>95</v>
      </c>
      <c r="R381" s="3" t="str">
        <f t="shared" si="66"/>
        <v>"4":{"type":"con","dst_persist":"n","src":{"30200":{"raddr":"172.29.12.71:0","mhdr":"iBHb2","name":"NODO-01"},"40200":{"raddr":"172.29.12.72:0","mhdr":"iBHb2","name":"NODO-02"}},"dst":{"mode":"server","raddr":"172.17.96.1:0","lport":"3111 iBHb2","name":"RBM (SV-RBM) ADQUIRIENTE PT In"},"plugin": {"file":"slb_plugin_rm_biciso.so","type":"RM"}},</v>
      </c>
    </row>
    <row r="382" spans="1:18" ht="15" thickBot="1">
      <c r="A382" s="30"/>
      <c r="B382" s="7" t="s">
        <v>38</v>
      </c>
      <c r="C382" s="7" t="s">
        <v>497</v>
      </c>
      <c r="D382" s="8">
        <v>5</v>
      </c>
      <c r="E382" s="8" t="s">
        <v>209</v>
      </c>
      <c r="F382" s="8" t="s">
        <v>8</v>
      </c>
      <c r="G382" s="8" t="s">
        <v>13</v>
      </c>
      <c r="H382" s="8" t="s">
        <v>437</v>
      </c>
      <c r="I382" s="8"/>
      <c r="J382" s="8">
        <v>12605</v>
      </c>
      <c r="K382" s="33" t="s">
        <v>437</v>
      </c>
      <c r="L382" s="32" t="str">
        <f t="shared" si="64"/>
        <v>172.29.12.71</v>
      </c>
      <c r="M382" s="33">
        <v>30130</v>
      </c>
      <c r="N382" s="32" t="str">
        <f t="shared" si="65"/>
        <v>172.29.12.72</v>
      </c>
      <c r="O382" s="33">
        <f t="shared" si="63"/>
        <v>40130</v>
      </c>
      <c r="P382" s="33" t="s">
        <v>94</v>
      </c>
      <c r="Q382" s="34" t="s">
        <v>95</v>
      </c>
      <c r="R382" s="3" t="str">
        <f t="shared" si="66"/>
        <v>"5":{"type":"con","dst_persist":"n","src":{"30130":{"raddr":"172.29.12.71:0","mhdr":"iBHb2","name":"NODO-01"},"40130":{"raddr":"172.29.12.72:0","mhdr":"iBHb2","name":"NODO-02"}},"dst":{"mode":"server","raddr":"172.19.207.40:0","lport":"12605 iBHb2","name":"RBM (B24-SV) EMISOR PT In"},"plugin": {"file":"slb_plugin_rm_biciso.so","type":"RM"}},</v>
      </c>
    </row>
    <row r="383" spans="1:18" ht="15" thickBot="1">
      <c r="A383" s="30"/>
      <c r="B383" s="7" t="s">
        <v>39</v>
      </c>
      <c r="C383" s="7" t="s">
        <v>497</v>
      </c>
      <c r="D383" s="8">
        <v>6</v>
      </c>
      <c r="E383" s="8" t="s">
        <v>210</v>
      </c>
      <c r="F383" s="8" t="s">
        <v>14</v>
      </c>
      <c r="G383" s="8"/>
      <c r="H383" s="8" t="s">
        <v>437</v>
      </c>
      <c r="I383" s="8" t="s">
        <v>13</v>
      </c>
      <c r="J383" s="8">
        <v>4011</v>
      </c>
      <c r="K383" s="33" t="s">
        <v>437</v>
      </c>
      <c r="L383" s="32" t="str">
        <f t="shared" si="64"/>
        <v>172.29.12.71</v>
      </c>
      <c r="M383" s="33">
        <v>30140</v>
      </c>
      <c r="N383" s="32" t="str">
        <f t="shared" si="65"/>
        <v>172.29.12.72</v>
      </c>
      <c r="O383" s="33">
        <f t="shared" si="63"/>
        <v>40140</v>
      </c>
      <c r="P383" s="33" t="s">
        <v>94</v>
      </c>
      <c r="Q383" s="34" t="s">
        <v>95</v>
      </c>
      <c r="R383" s="3" t="str">
        <f t="shared" si="66"/>
        <v>"6":{"type":"con","dst_persist":"n","src":{"30140":{"raddr":"172.29.12.71:0","mhdr":"iBHb2","name":"NODO-01"},"40140":{"raddr":"172.29.12.72:0","mhdr":"iBHb2","name":"NODO-02"}},"dst":{"mode":"client","raddr":"172.19.207.40:4011","mhdr":"iBHb2","name":"RBM (B24-SV) EMISOR PT Out"},"plugin": {"file":"slb_plugin_rm_biciso.so","type":"RM"}},</v>
      </c>
    </row>
    <row r="384" spans="1:18" ht="15" thickBot="1">
      <c r="A384" s="30"/>
      <c r="B384" s="7" t="s">
        <v>42</v>
      </c>
      <c r="C384" s="7" t="s">
        <v>497</v>
      </c>
      <c r="D384" s="8">
        <v>7</v>
      </c>
      <c r="E384" s="8" t="s">
        <v>211</v>
      </c>
      <c r="F384" s="8" t="s">
        <v>14</v>
      </c>
      <c r="G384" s="8"/>
      <c r="H384" s="8" t="s">
        <v>437</v>
      </c>
      <c r="I384" s="8" t="s">
        <v>57</v>
      </c>
      <c r="J384" s="8">
        <v>12605</v>
      </c>
      <c r="K384" s="33" t="s">
        <v>437</v>
      </c>
      <c r="L384" s="32" t="str">
        <f t="shared" si="64"/>
        <v>172.29.12.71</v>
      </c>
      <c r="M384" s="33">
        <v>30170</v>
      </c>
      <c r="N384" s="32" t="str">
        <f t="shared" si="65"/>
        <v>172.29.12.72</v>
      </c>
      <c r="O384" s="33">
        <f t="shared" si="63"/>
        <v>40170</v>
      </c>
      <c r="P384" s="33" t="s">
        <v>94</v>
      </c>
      <c r="Q384" s="34" t="s">
        <v>95</v>
      </c>
      <c r="R384" s="3" t="str">
        <f t="shared" si="66"/>
        <v>"7":{"type":"con","dst_persist":"n","src":{"30170":{"raddr":"172.29.12.71:0","mhdr":"iBHb2","name":"NODO-01"},"40170":{"raddr":"172.29.12.72:0","mhdr":"iBHb2","name":"NODO-02"}},"dst":{"mode":"client","raddr":"172.17.96.1:12605","mhdr":"iBHb2","name":"RBM (SV-RBM) EMISOR PT Out"},"plugin": {"file":"slb_plugin_rm_biciso.so","type":"RM"}},</v>
      </c>
    </row>
    <row r="385" spans="1:18" ht="15" thickBot="1">
      <c r="A385" s="40"/>
      <c r="B385" s="16" t="s">
        <v>43</v>
      </c>
      <c r="C385" s="16" t="s">
        <v>497</v>
      </c>
      <c r="D385" s="17">
        <v>8</v>
      </c>
      <c r="E385" s="17" t="s">
        <v>212</v>
      </c>
      <c r="F385" s="17" t="s">
        <v>8</v>
      </c>
      <c r="G385" s="17" t="s">
        <v>57</v>
      </c>
      <c r="H385" s="17" t="s">
        <v>437</v>
      </c>
      <c r="I385" s="17"/>
      <c r="J385" s="17">
        <v>4111</v>
      </c>
      <c r="K385" s="35" t="s">
        <v>437</v>
      </c>
      <c r="L385" s="32" t="str">
        <f t="shared" si="64"/>
        <v>172.29.12.71</v>
      </c>
      <c r="M385" s="35">
        <v>30180</v>
      </c>
      <c r="N385" s="32" t="str">
        <f t="shared" si="65"/>
        <v>172.29.12.72</v>
      </c>
      <c r="O385" s="35">
        <f t="shared" si="63"/>
        <v>40180</v>
      </c>
      <c r="P385" s="35" t="s">
        <v>94</v>
      </c>
      <c r="Q385" s="36" t="s">
        <v>96</v>
      </c>
      <c r="R385" s="3" t="str">
        <f t="shared" si="66"/>
        <v>"8":{"type":"con","dst_persist":"n","src":{"30180":{"raddr":"172.29.12.71:0","mhdr":"iBHb2","name":"NODO-01"},"40180":{"raddr":"172.29.12.72:0","mhdr":"iBHb2","name":"NODO-02"}},"dst":{"mode":"server","raddr":"172.17.96.1:0","lport":"4111 iBHb2","name":"RBM (SV-RBM) EMISOR PT In"},"plugin": {"file":"slb_plugin_rm_biciso.so","type":"RM"}}}},</v>
      </c>
    </row>
    <row r="386" spans="1:18" ht="15" thickBot="1">
      <c r="A386" s="47">
        <v>5</v>
      </c>
      <c r="B386" s="23" t="s">
        <v>64</v>
      </c>
      <c r="C386" s="23" t="s">
        <v>496</v>
      </c>
      <c r="D386" s="29">
        <v>1</v>
      </c>
      <c r="E386" s="29" t="s">
        <v>272</v>
      </c>
      <c r="F386" s="29" t="s">
        <v>14</v>
      </c>
      <c r="G386" s="29"/>
      <c r="H386" s="29" t="s">
        <v>55</v>
      </c>
      <c r="I386" s="29" t="s">
        <v>516</v>
      </c>
      <c r="J386" s="29">
        <v>4180</v>
      </c>
      <c r="K386" s="32" t="s">
        <v>55</v>
      </c>
      <c r="L386" s="32" t="str">
        <f t="shared" si="64"/>
        <v>172.29.12.71</v>
      </c>
      <c r="M386" s="32">
        <v>30300</v>
      </c>
      <c r="N386" s="32" t="str">
        <f t="shared" si="65"/>
        <v>172.29.12.72</v>
      </c>
      <c r="O386" s="32">
        <f t="shared" si="63"/>
        <v>40300</v>
      </c>
      <c r="P386" s="32" t="s">
        <v>94</v>
      </c>
      <c r="Q386" s="49" t="s">
        <v>95</v>
      </c>
      <c r="R386" s="3" t="str">
        <f t="shared" si="66"/>
        <v>"5":{"rules":{"1":{"type":"con","dst_persist":"n","src":{"30300":{"raddr":"172.29.12.71:0","mhdr":"BHb2","name":"NODO-01"},"40300":{"raddr":"172.29.12.72:0","mhdr":"BHb2","name":"NODO-02"}},"dst":{"mode":"client","raddr":"172.19.207.40x:4180","mhdr":"BHb2","name":"Red ATM CajaSoc out 1"},"plugin": {"file":"slb_plugin_rm_biciso.so","type":"RM"}},</v>
      </c>
    </row>
    <row r="387" spans="1:18" ht="15" thickBot="1">
      <c r="A387" s="30"/>
      <c r="B387" s="7" t="s">
        <v>66</v>
      </c>
      <c r="C387" s="7" t="s">
        <v>496</v>
      </c>
      <c r="D387" s="8">
        <v>2</v>
      </c>
      <c r="E387" s="8" t="s">
        <v>271</v>
      </c>
      <c r="F387" s="8" t="s">
        <v>8</v>
      </c>
      <c r="G387" s="8" t="s">
        <v>142</v>
      </c>
      <c r="H387" s="8" t="s">
        <v>55</v>
      </c>
      <c r="I387" s="8"/>
      <c r="J387" s="8">
        <v>4180</v>
      </c>
      <c r="K387" s="33" t="s">
        <v>55</v>
      </c>
      <c r="L387" s="32" t="str">
        <f t="shared" si="64"/>
        <v>172.29.12.71</v>
      </c>
      <c r="M387" s="33">
        <v>30310</v>
      </c>
      <c r="N387" s="32" t="str">
        <f t="shared" si="65"/>
        <v>172.29.12.72</v>
      </c>
      <c r="O387" s="33">
        <f t="shared" si="63"/>
        <v>40310</v>
      </c>
      <c r="P387" s="33" t="s">
        <v>94</v>
      </c>
      <c r="Q387" s="34" t="s">
        <v>95</v>
      </c>
      <c r="R387" s="3" t="str">
        <f t="shared" si="66"/>
        <v>"2":{"type":"con","dst_persist":"n","src":{"30310":{"raddr":"172.29.12.71:0","mhdr":"BHb2","name":"NODO-01"},"40310":{"raddr":"172.29.12.72:0","mhdr":"BHb2","name":"NODO-02"}},"dst":{"mode":"server","raddr":"10.2.32.194:0","lport":"4180 BHb2","name":"Red ATM CajaSoc in 1"},"plugin": {"file":"slb_plugin_rm_biciso.so","type":"RM"}},</v>
      </c>
    </row>
    <row r="388" spans="1:18" ht="15" thickBot="1">
      <c r="A388" s="30"/>
      <c r="B388" s="7" t="s">
        <v>65</v>
      </c>
      <c r="C388" s="7" t="s">
        <v>496</v>
      </c>
      <c r="D388" s="8">
        <v>3</v>
      </c>
      <c r="E388" s="8" t="s">
        <v>273</v>
      </c>
      <c r="F388" s="8" t="s">
        <v>14</v>
      </c>
      <c r="G388" s="8"/>
      <c r="H388" s="8" t="s">
        <v>55</v>
      </c>
      <c r="I388" s="8" t="s">
        <v>13</v>
      </c>
      <c r="J388" s="8">
        <v>5180</v>
      </c>
      <c r="K388" s="33" t="s">
        <v>55</v>
      </c>
      <c r="L388" s="32" t="str">
        <f t="shared" si="64"/>
        <v>172.29.12.71</v>
      </c>
      <c r="M388" s="33">
        <v>30320</v>
      </c>
      <c r="N388" s="32" t="str">
        <f t="shared" si="65"/>
        <v>172.29.12.72</v>
      </c>
      <c r="O388" s="33">
        <f t="shared" si="63"/>
        <v>40320</v>
      </c>
      <c r="P388" s="33" t="s">
        <v>94</v>
      </c>
      <c r="Q388" s="34" t="s">
        <v>95</v>
      </c>
      <c r="R388" s="3" t="str">
        <f t="shared" si="66"/>
        <v>"3":{"type":"con","dst_persist":"n","src":{"30320":{"raddr":"172.29.12.71:0","mhdr":"BHb2","name":"NODO-01"},"40320":{"raddr":"172.29.12.72:0","mhdr":"BHb2","name":"NODO-02"}},"dst":{"mode":"client","raddr":"172.19.207.40:5180","mhdr":"BHb2","name":"Red ATM CajaSoc out 2"},"plugin": {"file":"slb_plugin_rm_biciso.so","type":"RM"}},</v>
      </c>
    </row>
    <row r="389" spans="1:18" ht="15" thickBot="1">
      <c r="A389" s="40"/>
      <c r="B389" s="16" t="s">
        <v>67</v>
      </c>
      <c r="C389" s="16" t="s">
        <v>496</v>
      </c>
      <c r="D389" s="17">
        <v>4</v>
      </c>
      <c r="E389" s="17" t="s">
        <v>274</v>
      </c>
      <c r="F389" s="17" t="s">
        <v>8</v>
      </c>
      <c r="G389" s="17" t="s">
        <v>142</v>
      </c>
      <c r="H389" s="17" t="s">
        <v>55</v>
      </c>
      <c r="I389" s="17"/>
      <c r="J389" s="17">
        <v>5180</v>
      </c>
      <c r="K389" s="35" t="s">
        <v>55</v>
      </c>
      <c r="L389" s="32" t="str">
        <f t="shared" si="64"/>
        <v>172.29.12.71</v>
      </c>
      <c r="M389" s="35">
        <v>30330</v>
      </c>
      <c r="N389" s="32" t="str">
        <f t="shared" si="65"/>
        <v>172.29.12.72</v>
      </c>
      <c r="O389" s="35">
        <f t="shared" si="63"/>
        <v>40330</v>
      </c>
      <c r="P389" s="61" t="s">
        <v>94</v>
      </c>
      <c r="Q389" s="36" t="s">
        <v>96</v>
      </c>
      <c r="R389" s="3" t="str">
        <f t="shared" si="66"/>
        <v>"4":{"type":"con","dst_persist":"n","src":{"30330":{"raddr":"172.29.12.71:0","mhdr":"BHb2","name":"NODO-01"},"40330":{"raddr":"172.29.12.72:0","mhdr":"BHb2","name":"NODO-02"}},"dst":{"mode":"server","raddr":"10.2.32.194:0","lport":"5180 BHb2","name":"Red ATM CajaSoc in 2"},"plugin": {"file":"slb_plugin_rm_biciso.so","type":"RM"}}}},</v>
      </c>
    </row>
    <row r="390" spans="1:18" ht="15" thickBot="1">
      <c r="A390" s="47">
        <v>6</v>
      </c>
      <c r="B390" s="23" t="s">
        <v>68</v>
      </c>
      <c r="C390" s="23" t="s">
        <v>496</v>
      </c>
      <c r="D390" s="29">
        <v>1</v>
      </c>
      <c r="E390" s="29" t="s">
        <v>275</v>
      </c>
      <c r="F390" s="29" t="s">
        <v>14</v>
      </c>
      <c r="G390" s="29"/>
      <c r="H390" s="29" t="s">
        <v>437</v>
      </c>
      <c r="I390" s="29" t="s">
        <v>516</v>
      </c>
      <c r="J390" s="29">
        <v>6164</v>
      </c>
      <c r="K390" s="32" t="s">
        <v>437</v>
      </c>
      <c r="L390" s="32" t="str">
        <f t="shared" si="64"/>
        <v>172.29.12.71</v>
      </c>
      <c r="M390" s="32">
        <v>30340</v>
      </c>
      <c r="N390" s="32" t="str">
        <f t="shared" si="65"/>
        <v>172.29.12.72</v>
      </c>
      <c r="O390" s="114">
        <f t="shared" si="63"/>
        <v>40340</v>
      </c>
      <c r="P390" s="119" t="s">
        <v>94</v>
      </c>
      <c r="Q390" s="117" t="s">
        <v>95</v>
      </c>
      <c r="R390" s="3" t="str">
        <f t="shared" si="66"/>
        <v>"6":{"rules":{"1":{"type":"con","dst_persist":"n","src":{"30340":{"raddr":"172.29.12.71:0","mhdr":"iBHb2","name":"NODO-01"},"40340":{"raddr":"172.29.12.72:0","mhdr":"iBHb2","name":"NODO-02"}},"dst":{"mode":"client","raddr":"172.19.207.40x:6164","mhdr":"iBHb2","name":"Red ATM Pichinc out 1"},"plugin": {"file":"slb_plugin_rm_biciso.so","type":"RM"}},</v>
      </c>
    </row>
    <row r="391" spans="1:18" ht="15" thickBot="1">
      <c r="A391" s="30"/>
      <c r="B391" s="7" t="s">
        <v>253</v>
      </c>
      <c r="C391" s="7" t="s">
        <v>496</v>
      </c>
      <c r="D391" s="8">
        <v>2</v>
      </c>
      <c r="E391" s="8" t="s">
        <v>276</v>
      </c>
      <c r="F391" s="8" t="s">
        <v>8</v>
      </c>
      <c r="G391" s="8" t="s">
        <v>70</v>
      </c>
      <c r="H391" s="8" t="s">
        <v>437</v>
      </c>
      <c r="I391" s="8"/>
      <c r="J391" s="8">
        <v>6164</v>
      </c>
      <c r="K391" s="33" t="s">
        <v>437</v>
      </c>
      <c r="L391" s="32" t="str">
        <f t="shared" si="64"/>
        <v>172.29.12.71</v>
      </c>
      <c r="M391" s="33">
        <v>30350</v>
      </c>
      <c r="N391" s="32" t="str">
        <f t="shared" si="65"/>
        <v>172.29.12.72</v>
      </c>
      <c r="O391" s="115">
        <f t="shared" si="63"/>
        <v>40350</v>
      </c>
      <c r="P391" s="120" t="s">
        <v>94</v>
      </c>
      <c r="Q391" s="83" t="s">
        <v>95</v>
      </c>
      <c r="R391" s="3" t="str">
        <f t="shared" si="66"/>
        <v>"2":{"type":"con","dst_persist":"n","src":{"30350":{"raddr":"172.29.12.71:0","mhdr":"iBHb2","name":"NODO-01"},"40350":{"raddr":"172.29.12.72:0","mhdr":"iBHb2","name":"NODO-02"}},"dst":{"mode":"server","raddr":"192.168.2.130:0","lport":"6164 iBHb2","name":"Red ATM Pichinc in 1"},"plugin": {"file":"slb_plugin_rm_biciso.so","type":"RM"}},</v>
      </c>
    </row>
    <row r="392" spans="1:18" ht="15" thickBot="1">
      <c r="A392" s="30"/>
      <c r="B392" s="7" t="s">
        <v>69</v>
      </c>
      <c r="C392" s="7" t="s">
        <v>496</v>
      </c>
      <c r="D392" s="8">
        <v>3</v>
      </c>
      <c r="E392" s="8" t="s">
        <v>277</v>
      </c>
      <c r="F392" s="8" t="s">
        <v>14</v>
      </c>
      <c r="G392" s="8"/>
      <c r="H392" s="8" t="s">
        <v>437</v>
      </c>
      <c r="I392" s="8" t="s">
        <v>13</v>
      </c>
      <c r="J392" s="8">
        <v>7164</v>
      </c>
      <c r="K392" s="33" t="s">
        <v>437</v>
      </c>
      <c r="L392" s="32" t="str">
        <f t="shared" si="64"/>
        <v>172.29.12.71</v>
      </c>
      <c r="M392" s="33">
        <v>30360</v>
      </c>
      <c r="N392" s="32" t="str">
        <f t="shared" si="65"/>
        <v>172.29.12.72</v>
      </c>
      <c r="O392" s="115">
        <f t="shared" si="63"/>
        <v>40360</v>
      </c>
      <c r="P392" s="120" t="s">
        <v>94</v>
      </c>
      <c r="Q392" s="83" t="s">
        <v>95</v>
      </c>
      <c r="R392" s="3" t="str">
        <f t="shared" si="66"/>
        <v>"3":{"type":"con","dst_persist":"n","src":{"30360":{"raddr":"172.29.12.71:0","mhdr":"iBHb2","name":"NODO-01"},"40360":{"raddr":"172.29.12.72:0","mhdr":"iBHb2","name":"NODO-02"}},"dst":{"mode":"client","raddr":"172.19.207.40:7164","mhdr":"iBHb2","name":"Red ATM Pichinc out 2"},"plugin": {"file":"slb_plugin_rm_biciso.so","type":"RM"}},</v>
      </c>
    </row>
    <row r="393" spans="1:18" ht="15" thickBot="1">
      <c r="A393" s="40"/>
      <c r="B393" s="16" t="s">
        <v>254</v>
      </c>
      <c r="C393" s="16" t="s">
        <v>496</v>
      </c>
      <c r="D393" s="17">
        <v>4</v>
      </c>
      <c r="E393" s="17" t="s">
        <v>278</v>
      </c>
      <c r="F393" s="17" t="s">
        <v>8</v>
      </c>
      <c r="G393" s="17" t="s">
        <v>70</v>
      </c>
      <c r="H393" s="17" t="s">
        <v>437</v>
      </c>
      <c r="I393" s="17"/>
      <c r="J393" s="17">
        <v>7164</v>
      </c>
      <c r="K393" s="35" t="s">
        <v>437</v>
      </c>
      <c r="L393" s="32" t="str">
        <f t="shared" si="64"/>
        <v>172.29.12.71</v>
      </c>
      <c r="M393" s="35">
        <v>30370</v>
      </c>
      <c r="N393" s="32" t="str">
        <f t="shared" si="65"/>
        <v>172.29.12.72</v>
      </c>
      <c r="O393" s="116">
        <f t="shared" si="63"/>
        <v>40370</v>
      </c>
      <c r="P393" s="121" t="s">
        <v>94</v>
      </c>
      <c r="Q393" s="118" t="s">
        <v>96</v>
      </c>
      <c r="R393" s="3" t="str">
        <f t="shared" si="66"/>
        <v>"4":{"type":"con","dst_persist":"n","src":{"30370":{"raddr":"172.29.12.71:0","mhdr":"iBHb2","name":"NODO-01"},"40370":{"raddr":"172.29.12.72:0","mhdr":"iBHb2","name":"NODO-02"}},"dst":{"mode":"server","raddr":"192.168.2.130:0","lport":"7164 iBHb2","name":"Red ATM Pichinc in 2"},"plugin": {"file":"slb_plugin_rm_biciso.so","type":"RM"}}}},</v>
      </c>
    </row>
    <row r="394" spans="1:18" ht="15" thickBot="1">
      <c r="A394" s="47">
        <v>7</v>
      </c>
      <c r="B394" s="23" t="s">
        <v>148</v>
      </c>
      <c r="C394" s="23" t="s">
        <v>497</v>
      </c>
      <c r="D394" s="29">
        <v>1</v>
      </c>
      <c r="E394" s="29" t="s">
        <v>283</v>
      </c>
      <c r="F394" s="29" t="s">
        <v>14</v>
      </c>
      <c r="G394" s="29"/>
      <c r="H394" s="29" t="s">
        <v>437</v>
      </c>
      <c r="I394" s="29" t="s">
        <v>13</v>
      </c>
      <c r="J394" s="29">
        <v>7777</v>
      </c>
      <c r="K394" s="32" t="s">
        <v>437</v>
      </c>
      <c r="L394" s="32" t="str">
        <f t="shared" si="64"/>
        <v>172.29.12.71</v>
      </c>
      <c r="M394" s="32">
        <v>30420</v>
      </c>
      <c r="N394" s="32" t="str">
        <f t="shared" si="65"/>
        <v>172.29.12.72</v>
      </c>
      <c r="O394" s="32">
        <v>40420</v>
      </c>
      <c r="P394" s="37" t="s">
        <v>94</v>
      </c>
      <c r="Q394" s="49" t="s">
        <v>95</v>
      </c>
      <c r="R394" s="3" t="str">
        <f t="shared" si="66"/>
        <v>"7":{"rules":{"1":{"type":"con","dst_persist":"n","src":{"30420":{"raddr":"172.29.12.71:0","mhdr":"iBHb2","name":"NODO-01"},"40420":{"raddr":"172.29.12.72:0","mhdr":"iBHb2","name":"NODO-02"}},"dst":{"mode":"client","raddr":"172.19.207.40:7777","mhdr":"iBHb2","name":"MC BICISO Ntwk In 1"},"plugin": {"file":"slb_plugin_rm_biciso.so","type":"RM"}},</v>
      </c>
    </row>
    <row r="395" spans="1:18" ht="15" thickBot="1">
      <c r="A395" s="40"/>
      <c r="B395" s="16" t="s">
        <v>149</v>
      </c>
      <c r="C395" s="16" t="s">
        <v>497</v>
      </c>
      <c r="D395" s="17">
        <v>2</v>
      </c>
      <c r="E395" s="17" t="s">
        <v>284</v>
      </c>
      <c r="F395" s="17" t="s">
        <v>14</v>
      </c>
      <c r="G395" s="17"/>
      <c r="H395" s="17" t="s">
        <v>437</v>
      </c>
      <c r="I395" s="17" t="s">
        <v>13</v>
      </c>
      <c r="J395" s="17">
        <v>7778</v>
      </c>
      <c r="K395" s="35" t="s">
        <v>437</v>
      </c>
      <c r="L395" s="32" t="str">
        <f t="shared" si="64"/>
        <v>172.29.12.71</v>
      </c>
      <c r="M395" s="35">
        <v>30440</v>
      </c>
      <c r="N395" s="32" t="str">
        <f t="shared" si="65"/>
        <v>172.29.12.72</v>
      </c>
      <c r="O395" s="35">
        <v>40440</v>
      </c>
      <c r="P395" s="35" t="s">
        <v>94</v>
      </c>
      <c r="Q395" s="36" t="s">
        <v>96</v>
      </c>
      <c r="R395" s="3" t="str">
        <f t="shared" si="66"/>
        <v>"2":{"type":"con","dst_persist":"n","src":{"30440":{"raddr":"172.29.12.71:0","mhdr":"iBHb2","name":"NODO-01"},"40440":{"raddr":"172.29.12.72:0","mhdr":"iBHb2","name":"NODO-02"}},"dst":{"mode":"client","raddr":"172.19.207.40:7778","mhdr":"iBHb2","name":"MC BICISO Ntwk In 2"},"plugin": {"file":"slb_plugin_rm_biciso.so","type":"RM"}}}},</v>
      </c>
    </row>
    <row r="396" spans="1:18" ht="15" thickBot="1">
      <c r="A396" s="47">
        <v>8</v>
      </c>
      <c r="B396" s="23" t="s">
        <v>73</v>
      </c>
      <c r="C396" s="23" t="s">
        <v>497</v>
      </c>
      <c r="D396" s="29">
        <v>1</v>
      </c>
      <c r="E396" s="29" t="s">
        <v>289</v>
      </c>
      <c r="F396" s="29" t="s">
        <v>8</v>
      </c>
      <c r="G396" s="29" t="s">
        <v>13</v>
      </c>
      <c r="H396" s="29" t="s">
        <v>156</v>
      </c>
      <c r="I396" s="29"/>
      <c r="J396" s="29">
        <v>10154</v>
      </c>
      <c r="K396" s="32" t="s">
        <v>156</v>
      </c>
      <c r="L396" s="32" t="str">
        <f t="shared" si="64"/>
        <v>172.29.12.71</v>
      </c>
      <c r="M396" s="32">
        <v>30500</v>
      </c>
      <c r="N396" s="32" t="str">
        <f t="shared" si="65"/>
        <v>172.29.12.72</v>
      </c>
      <c r="O396" s="32">
        <f t="shared" ref="O396:O417" si="67">+M396+10000</f>
        <v>40500</v>
      </c>
      <c r="P396" s="32" t="s">
        <v>157</v>
      </c>
      <c r="Q396" s="49" t="s">
        <v>95</v>
      </c>
      <c r="R396" s="3" t="str">
        <f t="shared" si="66"/>
        <v>"8":{"rules":{"1":{"type":"con","dst_persist":"n","src":{"30500":{"raddr":"172.29.12.71:0","mhdr":"visa","name":"NODO-01"},"40500":{"raddr":"172.29.12.72:0","mhdr":"visa","name":"NODO-02"}},"dst":{"mode":"server","raddr":"172.19.207.40:0","lport":"10154 visa","name":"VISA (B24-SV) PT In 1"},"plugin": {"file":"slb_plugin_rm_visa.so","type":"RM"}},</v>
      </c>
    </row>
    <row r="397" spans="1:18" ht="15" thickBot="1">
      <c r="A397" s="30"/>
      <c r="B397" s="7" t="s">
        <v>72</v>
      </c>
      <c r="C397" s="7" t="s">
        <v>497</v>
      </c>
      <c r="D397" s="8">
        <v>2</v>
      </c>
      <c r="E397" s="8" t="s">
        <v>290</v>
      </c>
      <c r="F397" s="8" t="s">
        <v>14</v>
      </c>
      <c r="G397" s="8"/>
      <c r="H397" s="8" t="s">
        <v>156</v>
      </c>
      <c r="I397" s="8" t="s">
        <v>75</v>
      </c>
      <c r="J397" s="8">
        <v>10150</v>
      </c>
      <c r="K397" s="33" t="s">
        <v>156</v>
      </c>
      <c r="L397" s="32" t="str">
        <f t="shared" si="64"/>
        <v>172.29.12.71</v>
      </c>
      <c r="M397" s="33">
        <v>30510</v>
      </c>
      <c r="N397" s="32" t="str">
        <f t="shared" si="65"/>
        <v>172.29.12.72</v>
      </c>
      <c r="O397" s="33">
        <f t="shared" si="67"/>
        <v>40510</v>
      </c>
      <c r="P397" s="33" t="s">
        <v>157</v>
      </c>
      <c r="Q397" s="34" t="s">
        <v>95</v>
      </c>
      <c r="R397" s="3" t="str">
        <f t="shared" si="66"/>
        <v>"2":{"type":"con","dst_persist":"n","src":{"30510":{"raddr":"172.29.12.71:0","mhdr":"visa","name":"NODO-01"},"40510":{"raddr":"172.29.12.72:0","mhdr":"visa","name":"NODO-02"}},"dst":{"mode":"client","raddr":"172.26.34.135:10150","mhdr":"visa","name":"Red Visa Out 1"},"plugin": {"file":"slb_plugin_rm_visa.so","type":"RM"}},</v>
      </c>
    </row>
    <row r="398" spans="1:18" ht="15" thickBot="1">
      <c r="A398" s="30"/>
      <c r="B398" s="7" t="s">
        <v>74</v>
      </c>
      <c r="C398" s="7" t="s">
        <v>497</v>
      </c>
      <c r="D398" s="8">
        <v>3</v>
      </c>
      <c r="E398" s="8" t="s">
        <v>291</v>
      </c>
      <c r="F398" s="8" t="s">
        <v>8</v>
      </c>
      <c r="G398" s="8" t="s">
        <v>13</v>
      </c>
      <c r="H398" s="8" t="s">
        <v>156</v>
      </c>
      <c r="I398" s="8"/>
      <c r="J398" s="8">
        <v>11103</v>
      </c>
      <c r="K398" s="33" t="s">
        <v>156</v>
      </c>
      <c r="L398" s="32" t="str">
        <f t="shared" si="64"/>
        <v>172.29.12.71</v>
      </c>
      <c r="M398" s="33">
        <v>30520</v>
      </c>
      <c r="N398" s="32" t="str">
        <f t="shared" si="65"/>
        <v>172.29.12.72</v>
      </c>
      <c r="O398" s="33">
        <f t="shared" si="67"/>
        <v>40520</v>
      </c>
      <c r="P398" s="33" t="s">
        <v>157</v>
      </c>
      <c r="Q398" s="34" t="s">
        <v>95</v>
      </c>
      <c r="R398" s="3" t="str">
        <f t="shared" si="66"/>
        <v>"3":{"type":"con","dst_persist":"n","src":{"30520":{"raddr":"172.29.12.71:0","mhdr":"visa","name":"NODO-01"},"40520":{"raddr":"172.29.12.72:0","mhdr":"visa","name":"NODO-02"}},"dst":{"mode":"server","raddr":"172.19.207.40:0","lport":"11103 visa","name":"VISA (B24-SV) PT In 2"},"plugin": {"file":"slb_plugin_rm_visa.so","type":"RM"}},</v>
      </c>
    </row>
    <row r="399" spans="1:18" ht="15" thickBot="1">
      <c r="A399" s="30"/>
      <c r="B399" s="7" t="s">
        <v>71</v>
      </c>
      <c r="C399" s="7" t="s">
        <v>497</v>
      </c>
      <c r="D399" s="8">
        <v>4</v>
      </c>
      <c r="E399" s="8" t="s">
        <v>292</v>
      </c>
      <c r="F399" s="8" t="s">
        <v>14</v>
      </c>
      <c r="G399" s="8"/>
      <c r="H399" s="8" t="s">
        <v>156</v>
      </c>
      <c r="I399" s="8" t="s">
        <v>158</v>
      </c>
      <c r="J399" s="8">
        <v>1003</v>
      </c>
      <c r="K399" s="33" t="s">
        <v>156</v>
      </c>
      <c r="L399" s="32" t="str">
        <f t="shared" si="64"/>
        <v>172.29.12.71</v>
      </c>
      <c r="M399" s="33">
        <v>30530</v>
      </c>
      <c r="N399" s="32" t="str">
        <f t="shared" si="65"/>
        <v>172.29.12.72</v>
      </c>
      <c r="O399" s="33">
        <f t="shared" si="67"/>
        <v>40530</v>
      </c>
      <c r="P399" s="33" t="s">
        <v>157</v>
      </c>
      <c r="Q399" s="34" t="s">
        <v>95</v>
      </c>
      <c r="R399" s="3" t="str">
        <f t="shared" si="66"/>
        <v>"4":{"type":"con","dst_persist":"n","src":{"30530":{"raddr":"172.29.12.71:0","mhdr":"visa","name":"NODO-01"},"40530":{"raddr":"172.29.12.72:0","mhdr":"visa","name":"NODO-02"}},"dst":{"mode":"client","raddr":"172.26.9.73:1003","mhdr":"visa","name":"Red Visa Out 2"},"plugin": {"file":"slb_plugin_rm_visa.so","type":"RM"}},</v>
      </c>
    </row>
    <row r="400" spans="1:18" ht="15" thickBot="1">
      <c r="A400" s="30"/>
      <c r="B400" s="7" t="s">
        <v>154</v>
      </c>
      <c r="C400" s="7" t="s">
        <v>497</v>
      </c>
      <c r="D400" s="8">
        <v>5</v>
      </c>
      <c r="E400" s="8" t="s">
        <v>293</v>
      </c>
      <c r="F400" s="8" t="s">
        <v>8</v>
      </c>
      <c r="G400" s="8" t="s">
        <v>13</v>
      </c>
      <c r="H400" s="8" t="s">
        <v>156</v>
      </c>
      <c r="I400" s="8"/>
      <c r="J400" s="8">
        <v>1054</v>
      </c>
      <c r="K400" s="33" t="s">
        <v>156</v>
      </c>
      <c r="L400" s="32" t="str">
        <f t="shared" si="64"/>
        <v>172.29.12.71</v>
      </c>
      <c r="M400" s="33">
        <v>30540</v>
      </c>
      <c r="N400" s="32" t="str">
        <f t="shared" si="65"/>
        <v>172.29.12.72</v>
      </c>
      <c r="O400" s="33">
        <f t="shared" si="67"/>
        <v>40540</v>
      </c>
      <c r="P400" s="33" t="s">
        <v>157</v>
      </c>
      <c r="Q400" s="34" t="s">
        <v>95</v>
      </c>
      <c r="R400" s="3" t="str">
        <f t="shared" si="66"/>
        <v>"5":{"type":"con","dst_persist":"n","src":{"30540":{"raddr":"172.29.12.71:0","mhdr":"visa","name":"NODO-01"},"40540":{"raddr":"172.29.12.72:0","mhdr":"visa","name":"NODO-02"}},"dst":{"mode":"server","raddr":"172.19.207.40:0","lport":"1054 visa","name":"Visa SIM 852125(B24-SV) PT In"},"plugin": {"file":"slb_plugin_rm_visa.so","type":"RM"}},</v>
      </c>
    </row>
    <row r="401" spans="1:18" ht="15" thickBot="1">
      <c r="A401" s="40"/>
      <c r="B401" s="16" t="s">
        <v>155</v>
      </c>
      <c r="C401" s="16" t="s">
        <v>497</v>
      </c>
      <c r="D401" s="17">
        <v>6</v>
      </c>
      <c r="E401" s="17" t="s">
        <v>294</v>
      </c>
      <c r="F401" s="17" t="s">
        <v>14</v>
      </c>
      <c r="G401" s="17"/>
      <c r="H401" s="17" t="s">
        <v>156</v>
      </c>
      <c r="I401" s="17" t="s">
        <v>158</v>
      </c>
      <c r="J401" s="17">
        <v>1054</v>
      </c>
      <c r="K401" s="35" t="s">
        <v>156</v>
      </c>
      <c r="L401" s="32" t="str">
        <f t="shared" si="64"/>
        <v>172.29.12.71</v>
      </c>
      <c r="M401" s="35">
        <v>30550</v>
      </c>
      <c r="N401" s="32" t="str">
        <f t="shared" si="65"/>
        <v>172.29.12.72</v>
      </c>
      <c r="O401" s="35">
        <f t="shared" si="67"/>
        <v>40550</v>
      </c>
      <c r="P401" s="35" t="s">
        <v>157</v>
      </c>
      <c r="Q401" s="36" t="s">
        <v>96</v>
      </c>
      <c r="R401" s="3" t="str">
        <f t="shared" si="66"/>
        <v>"6":{"type":"con","dst_persist":"n","src":{"30550":{"raddr":"172.29.12.71:0","mhdr":"visa","name":"NODO-01"},"40550":{"raddr":"172.29.12.72:0","mhdr":"visa","name":"NODO-02"}},"dst":{"mode":"client","raddr":"172.26.9.73:1054","mhdr":"visa","name":"Visa SIM 852125(SV-SIM) PT Out"},"plugin": {"file":"slb_plugin_rm_visa.so","type":"RM"}}}},</v>
      </c>
    </row>
    <row r="402" spans="1:18" ht="15" thickBot="1">
      <c r="A402" s="47">
        <v>9</v>
      </c>
      <c r="B402" s="23" t="s">
        <v>159</v>
      </c>
      <c r="C402" s="23" t="s">
        <v>497</v>
      </c>
      <c r="D402" s="29">
        <v>1</v>
      </c>
      <c r="E402" s="29" t="s">
        <v>295</v>
      </c>
      <c r="F402" s="29" t="s">
        <v>8</v>
      </c>
      <c r="G402" s="29" t="s">
        <v>161</v>
      </c>
      <c r="H402" s="29" t="s">
        <v>55</v>
      </c>
      <c r="I402" s="29"/>
      <c r="J402" s="29">
        <v>4200</v>
      </c>
      <c r="K402" s="32" t="s">
        <v>55</v>
      </c>
      <c r="L402" s="32" t="str">
        <f t="shared" si="64"/>
        <v>172.29.12.71</v>
      </c>
      <c r="M402" s="32">
        <v>30630</v>
      </c>
      <c r="N402" s="32" t="str">
        <f t="shared" si="65"/>
        <v>172.29.12.72</v>
      </c>
      <c r="O402" s="32">
        <f t="shared" si="67"/>
        <v>40630</v>
      </c>
      <c r="P402" s="32" t="s">
        <v>94</v>
      </c>
      <c r="Q402" s="49" t="s">
        <v>95</v>
      </c>
      <c r="R402" s="3" t="str">
        <f t="shared" si="66"/>
        <v>"9":{"rules":{"1":{"type":"con","dst_persist":"n","src":{"30630":{"raddr":"172.29.12.71:0","mhdr":"BHb2","name":"NODO-01"},"40630":{"raddr":"172.29.12.72:0","mhdr":"BHb2","name":"NODO-02"}},"dst":{"mode":"server","raddr":"172.27.1.123:0","lport":"4200 BHb2","name":"Vpayment In"},"plugin": {"file":"slb_plugin_rm_biciso.so","type":"RM"}},</v>
      </c>
    </row>
    <row r="403" spans="1:18" ht="15" thickBot="1">
      <c r="A403" s="40"/>
      <c r="B403" s="16" t="s">
        <v>160</v>
      </c>
      <c r="C403" s="16" t="s">
        <v>497</v>
      </c>
      <c r="D403" s="17">
        <v>2</v>
      </c>
      <c r="E403" s="17" t="s">
        <v>297</v>
      </c>
      <c r="F403" s="17" t="s">
        <v>14</v>
      </c>
      <c r="G403" s="17"/>
      <c r="H403" s="17" t="s">
        <v>55</v>
      </c>
      <c r="I403" s="17" t="s">
        <v>13</v>
      </c>
      <c r="J403" s="17">
        <v>4200</v>
      </c>
      <c r="K403" s="35" t="s">
        <v>55</v>
      </c>
      <c r="L403" s="32" t="str">
        <f t="shared" si="64"/>
        <v>172.29.12.71</v>
      </c>
      <c r="M403" s="35">
        <v>30640</v>
      </c>
      <c r="N403" s="32" t="str">
        <f t="shared" si="65"/>
        <v>172.29.12.72</v>
      </c>
      <c r="O403" s="35">
        <f t="shared" si="67"/>
        <v>40640</v>
      </c>
      <c r="P403" s="35" t="s">
        <v>94</v>
      </c>
      <c r="Q403" s="36" t="s">
        <v>96</v>
      </c>
      <c r="R403" s="3" t="str">
        <f t="shared" si="66"/>
        <v>"2":{"type":"con","dst_persist":"n","src":{"30640":{"raddr":"172.29.12.71:0","mhdr":"BHb2","name":"NODO-01"},"40640":{"raddr":"172.29.12.72:0","mhdr":"BHb2","name":"NODO-02"}},"dst":{"mode":"client","raddr":"172.19.207.40:4200","mhdr":"BHb2","name":"Vpay (VPAY - BASE24) Out"},"plugin": {"file":"slb_plugin_rm_biciso.so","type":"RM"}}}},</v>
      </c>
    </row>
    <row r="404" spans="1:18" ht="15" thickBot="1">
      <c r="A404" s="47">
        <v>10</v>
      </c>
      <c r="B404" s="23" t="s">
        <v>461</v>
      </c>
      <c r="C404" s="23" t="s">
        <v>497</v>
      </c>
      <c r="D404" s="29">
        <v>1</v>
      </c>
      <c r="E404" s="29" t="s">
        <v>299</v>
      </c>
      <c r="F404" s="29" t="s">
        <v>8</v>
      </c>
      <c r="G404" s="29" t="s">
        <v>162</v>
      </c>
      <c r="H404" s="29" t="s">
        <v>55</v>
      </c>
      <c r="I404" s="29"/>
      <c r="J404" s="29">
        <v>3539</v>
      </c>
      <c r="K404" s="32" t="s">
        <v>55</v>
      </c>
      <c r="L404" s="32" t="str">
        <f t="shared" si="64"/>
        <v>172.29.12.71</v>
      </c>
      <c r="M404" s="32">
        <v>30560</v>
      </c>
      <c r="N404" s="32" t="str">
        <f t="shared" si="65"/>
        <v>172.29.12.72</v>
      </c>
      <c r="O404" s="32">
        <f t="shared" si="67"/>
        <v>40560</v>
      </c>
      <c r="P404" s="32" t="s">
        <v>94</v>
      </c>
      <c r="Q404" s="49" t="s">
        <v>95</v>
      </c>
      <c r="R404" s="3" t="str">
        <f t="shared" si="66"/>
        <v>"10":{"rules":{"1":{"type":"con","dst_persist":"n","src":{"30560":{"raddr":"172.29.12.71:0","mhdr":"BHb2","name":"NODO-01"},"40560":{"raddr":"172.29.12.72:0","mhdr":"BHb2","name":"NODO-02"}},"dst":{"mode":"server","raddr":"172.27.1.82:0","lport":"3539 BHb2","name":"Pago Automático In 1"},"plugin": {"file":"slb_plugin_rm_biciso.so","type":"RM"}},</v>
      </c>
    </row>
    <row r="405" spans="1:18" ht="15" thickBot="1">
      <c r="A405" s="30"/>
      <c r="B405" s="7" t="s">
        <v>460</v>
      </c>
      <c r="C405" s="7" t="s">
        <v>497</v>
      </c>
      <c r="D405" s="8">
        <v>2</v>
      </c>
      <c r="E405" s="8" t="s">
        <v>299</v>
      </c>
      <c r="F405" s="8" t="s">
        <v>8</v>
      </c>
      <c r="G405" s="8" t="s">
        <v>162</v>
      </c>
      <c r="H405" s="8" t="s">
        <v>55</v>
      </c>
      <c r="I405" s="8"/>
      <c r="J405" s="8">
        <v>3540</v>
      </c>
      <c r="K405" s="33" t="s">
        <v>55</v>
      </c>
      <c r="L405" s="32" t="str">
        <f t="shared" si="64"/>
        <v>172.29.12.71</v>
      </c>
      <c r="M405" s="33">
        <v>30580</v>
      </c>
      <c r="N405" s="32" t="str">
        <f t="shared" si="65"/>
        <v>172.29.12.72</v>
      </c>
      <c r="O405" s="33">
        <f>+M405+10000</f>
        <v>40580</v>
      </c>
      <c r="P405" s="33" t="s">
        <v>94</v>
      </c>
      <c r="Q405" s="34" t="s">
        <v>95</v>
      </c>
      <c r="R405" s="3" t="str">
        <f t="shared" si="66"/>
        <v>"2":{"type":"con","dst_persist":"n","src":{"30580":{"raddr":"172.29.12.71:0","mhdr":"BHb2","name":"NODO-01"},"40580":{"raddr":"172.29.12.72:0","mhdr":"BHb2","name":"NODO-02"}},"dst":{"mode":"server","raddr":"172.27.1.82:0","lport":"3540 BHb2","name":"Pago Automático In 2"},"plugin": {"file":"slb_plugin_rm_biciso.so","type":"RM"}},</v>
      </c>
    </row>
    <row r="406" spans="1:18" ht="15" thickBot="1">
      <c r="A406" s="47"/>
      <c r="B406" s="23" t="s">
        <v>1412</v>
      </c>
      <c r="C406" s="10" t="s">
        <v>497</v>
      </c>
      <c r="D406" s="29">
        <v>3</v>
      </c>
      <c r="E406" s="29"/>
      <c r="F406" s="29" t="s">
        <v>8</v>
      </c>
      <c r="G406" s="29" t="s">
        <v>162</v>
      </c>
      <c r="H406" s="29" t="s">
        <v>55</v>
      </c>
      <c r="I406" s="29"/>
      <c r="J406" s="29">
        <v>3139</v>
      </c>
      <c r="K406" s="32" t="s">
        <v>55</v>
      </c>
      <c r="L406" s="32" t="str">
        <f t="shared" si="64"/>
        <v>172.29.12.71</v>
      </c>
      <c r="M406" s="32">
        <f>J406+30000</f>
        <v>33139</v>
      </c>
      <c r="N406" s="32" t="str">
        <f t="shared" si="65"/>
        <v>172.29.12.72</v>
      </c>
      <c r="O406" s="32">
        <f>+M406+10000</f>
        <v>43139</v>
      </c>
      <c r="P406" s="32" t="s">
        <v>94</v>
      </c>
      <c r="Q406" s="49" t="s">
        <v>95</v>
      </c>
      <c r="R406" s="3" t="str">
        <f t="shared" si="66"/>
        <v>"3":{"type":"con","dst_persist":"n","src":{"33139":{"raddr":"172.29.12.71:0","mhdr":"BHb2","name":"NODO-01"},"43139":{"raddr":"172.29.12.72:0","mhdr":"BHb2","name":"NODO-02"}},"dst":{"mode":"server","raddr":"172.27.1.82:0","lport":"3139 BHb2","name":"Pago Automático In 3"},"plugin": {"file":"slb_plugin_rm_biciso.so","type":"RM"}},</v>
      </c>
    </row>
    <row r="407" spans="1:18" ht="15" thickBot="1">
      <c r="A407" s="47"/>
      <c r="B407" s="23" t="s">
        <v>1418</v>
      </c>
      <c r="C407" s="10" t="s">
        <v>497</v>
      </c>
      <c r="D407" s="29">
        <v>4</v>
      </c>
      <c r="E407" s="29"/>
      <c r="F407" s="29" t="s">
        <v>8</v>
      </c>
      <c r="G407" s="29" t="s">
        <v>162</v>
      </c>
      <c r="H407" s="29" t="s">
        <v>55</v>
      </c>
      <c r="I407" s="29"/>
      <c r="J407" s="29">
        <v>3239</v>
      </c>
      <c r="K407" s="32" t="s">
        <v>55</v>
      </c>
      <c r="L407" s="32" t="str">
        <f t="shared" si="64"/>
        <v>172.29.12.71</v>
      </c>
      <c r="M407" s="32">
        <f>J407+30000</f>
        <v>33239</v>
      </c>
      <c r="N407" s="32" t="str">
        <f t="shared" si="65"/>
        <v>172.29.12.72</v>
      </c>
      <c r="O407" s="32">
        <f>+M407+10000</f>
        <v>43239</v>
      </c>
      <c r="P407" s="32" t="s">
        <v>94</v>
      </c>
      <c r="Q407" s="49" t="s">
        <v>95</v>
      </c>
      <c r="R407" s="3" t="str">
        <f t="shared" si="66"/>
        <v>"4":{"type":"con","dst_persist":"n","src":{"33239":{"raddr":"172.29.12.71:0","mhdr":"BHb2","name":"NODO-01"},"43239":{"raddr":"172.29.12.72:0","mhdr":"BHb2","name":"NODO-02"}},"dst":{"mode":"server","raddr":"172.27.1.82:0","lport":"3239 BHb2","name":"Pago Automático In 4"},"plugin": {"file":"slb_plugin_rm_biciso.so","type":"RM"}},</v>
      </c>
    </row>
    <row r="408" spans="1:18" ht="15" thickBot="1">
      <c r="A408" s="30"/>
      <c r="B408" s="7" t="s">
        <v>462</v>
      </c>
      <c r="C408" s="7" t="s">
        <v>497</v>
      </c>
      <c r="D408" s="8">
        <v>5</v>
      </c>
      <c r="E408" s="8" t="s">
        <v>300</v>
      </c>
      <c r="F408" s="8" t="s">
        <v>14</v>
      </c>
      <c r="G408" s="8"/>
      <c r="H408" s="8" t="s">
        <v>55</v>
      </c>
      <c r="I408" s="8" t="s">
        <v>13</v>
      </c>
      <c r="J408" s="8">
        <v>3539</v>
      </c>
      <c r="K408" s="33" t="s">
        <v>55</v>
      </c>
      <c r="L408" s="32" t="str">
        <f t="shared" si="64"/>
        <v>172.29.12.71</v>
      </c>
      <c r="M408" s="33">
        <v>30570</v>
      </c>
      <c r="N408" s="32" t="str">
        <f t="shared" si="65"/>
        <v>172.29.12.72</v>
      </c>
      <c r="O408" s="33">
        <f t="shared" si="67"/>
        <v>40570</v>
      </c>
      <c r="P408" s="33" t="s">
        <v>94</v>
      </c>
      <c r="Q408" s="34" t="s">
        <v>95</v>
      </c>
      <c r="R408" s="3" t="str">
        <f t="shared" si="66"/>
        <v>"5":{"type":"con","dst_persist":"n","src":{"30570":{"raddr":"172.29.12.71:0","mhdr":"BHb2","name":"NODO-01"},"40570":{"raddr":"172.29.12.72:0","mhdr":"BHb2","name":"NODO-02"}},"dst":{"mode":"client","raddr":"172.19.207.40:3539","mhdr":"BHb2","name":"PA (PA - BASE24) Out 1 "},"plugin": {"file":"slb_plugin_rm_biciso.so","type":"RM"}},</v>
      </c>
    </row>
    <row r="409" spans="1:18" ht="15" thickBot="1">
      <c r="A409" s="40"/>
      <c r="B409" s="16" t="s">
        <v>246</v>
      </c>
      <c r="C409" s="16" t="s">
        <v>497</v>
      </c>
      <c r="D409" s="17">
        <v>6</v>
      </c>
      <c r="E409" s="17" t="s">
        <v>300</v>
      </c>
      <c r="F409" s="17" t="s">
        <v>14</v>
      </c>
      <c r="G409" s="17"/>
      <c r="H409" s="17" t="s">
        <v>55</v>
      </c>
      <c r="I409" s="17" t="s">
        <v>13</v>
      </c>
      <c r="J409" s="17">
        <v>3540</v>
      </c>
      <c r="K409" s="35" t="s">
        <v>55</v>
      </c>
      <c r="L409" s="32" t="str">
        <f t="shared" si="64"/>
        <v>172.29.12.71</v>
      </c>
      <c r="M409" s="35">
        <v>30590</v>
      </c>
      <c r="N409" s="32" t="str">
        <f t="shared" si="65"/>
        <v>172.29.12.72</v>
      </c>
      <c r="O409" s="35">
        <f t="shared" si="67"/>
        <v>40590</v>
      </c>
      <c r="P409" s="35" t="s">
        <v>94</v>
      </c>
      <c r="Q409" s="36" t="s">
        <v>95</v>
      </c>
      <c r="R409" s="3" t="str">
        <f t="shared" si="66"/>
        <v>"6":{"type":"con","dst_persist":"n","src":{"30590":{"raddr":"172.29.12.71:0","mhdr":"BHb2","name":"NODO-01"},"40590":{"raddr":"172.29.12.72:0","mhdr":"BHb2","name":"NODO-02"}},"dst":{"mode":"client","raddr":"172.19.207.40:3540","mhdr":"BHb2","name":"PA (PA - BASE24) Out 2"},"plugin": {"file":"slb_plugin_rm_biciso.so","type":"RM"}},</v>
      </c>
    </row>
    <row r="410" spans="1:18" ht="15" thickBot="1">
      <c r="A410" s="40"/>
      <c r="B410" s="16" t="s">
        <v>1413</v>
      </c>
      <c r="C410" s="14" t="s">
        <v>497</v>
      </c>
      <c r="D410" s="17">
        <v>7</v>
      </c>
      <c r="E410" s="17"/>
      <c r="F410" s="17" t="s">
        <v>14</v>
      </c>
      <c r="G410" s="17"/>
      <c r="H410" s="17" t="s">
        <v>55</v>
      </c>
      <c r="I410" s="17" t="s">
        <v>13</v>
      </c>
      <c r="J410" s="17">
        <v>3139</v>
      </c>
      <c r="K410" s="35" t="s">
        <v>55</v>
      </c>
      <c r="L410" s="32" t="str">
        <f t="shared" si="64"/>
        <v>172.29.12.71</v>
      </c>
      <c r="M410" s="35">
        <f>J410+50000</f>
        <v>53139</v>
      </c>
      <c r="N410" s="32" t="str">
        <f t="shared" si="65"/>
        <v>172.29.12.72</v>
      </c>
      <c r="O410" s="35">
        <f>+M410-30000</f>
        <v>23139</v>
      </c>
      <c r="P410" s="35" t="s">
        <v>94</v>
      </c>
      <c r="Q410" s="36" t="s">
        <v>95</v>
      </c>
      <c r="R410" s="3" t="str">
        <f t="shared" si="66"/>
        <v>"7":{"type":"con","dst_persist":"n","src":{"53139":{"raddr":"172.29.12.71:0","mhdr":"BHb2","name":"NODO-01"},"23139":{"raddr":"172.29.12.72:0","mhdr":"BHb2","name":"NODO-02"}},"dst":{"mode":"client","raddr":"172.19.207.40:3139","mhdr":"BHb2","name":"PA (PA - BASE24) Out 3"},"plugin": {"file":"slb_plugin_rm_biciso.so","type":"RM"}},</v>
      </c>
    </row>
    <row r="411" spans="1:18" ht="15" thickBot="1">
      <c r="A411" s="40"/>
      <c r="B411" s="16" t="s">
        <v>1419</v>
      </c>
      <c r="C411" s="14" t="s">
        <v>497</v>
      </c>
      <c r="D411" s="17">
        <v>8</v>
      </c>
      <c r="E411" s="17"/>
      <c r="F411" s="17" t="s">
        <v>14</v>
      </c>
      <c r="G411" s="17"/>
      <c r="H411" s="17" t="s">
        <v>55</v>
      </c>
      <c r="I411" s="17" t="s">
        <v>13</v>
      </c>
      <c r="J411" s="17">
        <v>3239</v>
      </c>
      <c r="K411" s="35" t="s">
        <v>55</v>
      </c>
      <c r="L411" s="32" t="str">
        <f t="shared" si="64"/>
        <v>172.29.12.71</v>
      </c>
      <c r="M411" s="35">
        <f>J411+50000</f>
        <v>53239</v>
      </c>
      <c r="N411" s="32" t="str">
        <f t="shared" si="65"/>
        <v>172.29.12.72</v>
      </c>
      <c r="O411" s="35">
        <f>+M411-30000</f>
        <v>23239</v>
      </c>
      <c r="P411" s="35" t="s">
        <v>94</v>
      </c>
      <c r="Q411" s="36" t="s">
        <v>96</v>
      </c>
      <c r="R411" s="3" t="str">
        <f t="shared" si="66"/>
        <v>"8":{"type":"con","dst_persist":"n","src":{"53239":{"raddr":"172.29.12.71:0","mhdr":"BHb2","name":"NODO-01"},"23239":{"raddr":"172.29.12.72:0","mhdr":"BHb2","name":"NODO-02"}},"dst":{"mode":"client","raddr":"172.19.207.40:3239","mhdr":"BHb2","name":"PA (PA - BASE24) Out 4"},"plugin": {"file":"slb_plugin_rm_biciso.so","type":"RM"}}}},</v>
      </c>
    </row>
    <row r="412" spans="1:18" ht="15" thickBot="1">
      <c r="A412" s="47">
        <v>11</v>
      </c>
      <c r="B412" s="23" t="s">
        <v>234</v>
      </c>
      <c r="C412" s="23" t="s">
        <v>497</v>
      </c>
      <c r="D412" s="29">
        <v>1</v>
      </c>
      <c r="E412" s="29" t="s">
        <v>301</v>
      </c>
      <c r="F412" s="29" t="s">
        <v>14</v>
      </c>
      <c r="G412" s="29"/>
      <c r="H412" s="29" t="s">
        <v>437</v>
      </c>
      <c r="I412" s="29" t="s">
        <v>163</v>
      </c>
      <c r="J412" s="29">
        <v>7780</v>
      </c>
      <c r="K412" s="32" t="s">
        <v>437</v>
      </c>
      <c r="L412" s="32" t="str">
        <f t="shared" si="64"/>
        <v>172.29.12.71</v>
      </c>
      <c r="M412" s="32">
        <v>37780</v>
      </c>
      <c r="N412" s="32" t="str">
        <f t="shared" si="65"/>
        <v>172.29.12.72</v>
      </c>
      <c r="O412" s="32">
        <f t="shared" si="67"/>
        <v>47780</v>
      </c>
      <c r="P412" s="32" t="s">
        <v>94</v>
      </c>
      <c r="Q412" s="49" t="s">
        <v>95</v>
      </c>
      <c r="R412" s="3" t="str">
        <f t="shared" si="66"/>
        <v>"11":{"rules":{"1":{"type":"con","dst_persist":"n","src":{"37780":{"raddr":"172.29.12.71:0","mhdr":"iBHb2","name":"NODO-01"},"47780":{"raddr":"172.29.12.72:0","mhdr":"iBHb2","name":"NODO-02"}},"dst":{"mode":"client","raddr":"172.19.207.84:7780","mhdr":"iBHb2","name":"HPDH (POS - BASE24) Out 1"},"plugin": {"file":"slb_plugin_rm_biciso.so","type":"RM"}},</v>
      </c>
    </row>
    <row r="413" spans="1:18" ht="15" thickBot="1">
      <c r="A413" s="40"/>
      <c r="B413" s="16" t="s">
        <v>235</v>
      </c>
      <c r="C413" s="16" t="s">
        <v>497</v>
      </c>
      <c r="D413" s="17">
        <v>2</v>
      </c>
      <c r="E413" s="17" t="s">
        <v>302</v>
      </c>
      <c r="F413" s="17" t="s">
        <v>14</v>
      </c>
      <c r="G413" s="17"/>
      <c r="H413" s="17" t="s">
        <v>437</v>
      </c>
      <c r="I413" s="17" t="s">
        <v>13</v>
      </c>
      <c r="J413" s="17">
        <v>7781</v>
      </c>
      <c r="K413" s="35" t="s">
        <v>437</v>
      </c>
      <c r="L413" s="32" t="str">
        <f t="shared" si="64"/>
        <v>172.29.12.71</v>
      </c>
      <c r="M413" s="35">
        <v>37781</v>
      </c>
      <c r="N413" s="32" t="str">
        <f t="shared" si="65"/>
        <v>172.29.12.72</v>
      </c>
      <c r="O413" s="35">
        <f t="shared" si="67"/>
        <v>47781</v>
      </c>
      <c r="P413" s="35" t="s">
        <v>94</v>
      </c>
      <c r="Q413" s="36" t="s">
        <v>96</v>
      </c>
      <c r="R413" s="3" t="str">
        <f t="shared" si="66"/>
        <v>"2":{"type":"con","dst_persist":"n","src":{"37781":{"raddr":"172.29.12.71:0","mhdr":"iBHb2","name":"NODO-01"},"47781":{"raddr":"172.29.12.72:0","mhdr":"iBHb2","name":"NODO-02"}},"dst":{"mode":"client","raddr":"172.19.207.40:7781","mhdr":"iBHb2","name":"HPDH (POS - BASE24) Out 2"},"plugin": {"file":"slb_plugin_rm_biciso.so","type":"RM"}}}},</v>
      </c>
    </row>
    <row r="414" spans="1:18" ht="15" thickBot="1">
      <c r="A414" s="47">
        <v>12</v>
      </c>
      <c r="B414" s="23" t="s">
        <v>164</v>
      </c>
      <c r="C414" s="23" t="s">
        <v>496</v>
      </c>
      <c r="D414" s="29">
        <v>1</v>
      </c>
      <c r="E414" s="29" t="s">
        <v>303</v>
      </c>
      <c r="F414" s="29" t="s">
        <v>14</v>
      </c>
      <c r="G414" s="29"/>
      <c r="H414" s="29" t="s">
        <v>55</v>
      </c>
      <c r="I414" s="29" t="s">
        <v>13</v>
      </c>
      <c r="J414" s="29">
        <v>2190</v>
      </c>
      <c r="K414" s="32" t="s">
        <v>55</v>
      </c>
      <c r="L414" s="32" t="str">
        <f t="shared" si="64"/>
        <v>172.29.12.71</v>
      </c>
      <c r="M414" s="32">
        <f>J414+50000</f>
        <v>52190</v>
      </c>
      <c r="N414" s="32" t="str">
        <f t="shared" si="65"/>
        <v>172.29.12.72</v>
      </c>
      <c r="O414" s="32">
        <f>+M414-30000</f>
        <v>22190</v>
      </c>
      <c r="P414" s="32" t="s">
        <v>94</v>
      </c>
      <c r="Q414" s="49" t="s">
        <v>95</v>
      </c>
      <c r="R414" s="3" t="str">
        <f t="shared" si="66"/>
        <v>"12":{"rules":{"1":{"type":"con","dst_persist":"n","src":{"52190":{"raddr":"172.29.12.71:0","mhdr":"BHb2","name":"NODO-01"},"22190":{"raddr":"172.29.12.72:0","mhdr":"BHb2","name":"NODO-02"}},"dst":{"mode":"client","raddr":"172.19.207.40:2190","mhdr":"BHb2","name":"Red ATM Colpatria out 1"},"plugin": {"file":"slb_plugin_rm_biciso.so","type":"RM"}},</v>
      </c>
    </row>
    <row r="415" spans="1:18" ht="15" thickBot="1">
      <c r="A415" s="30"/>
      <c r="B415" s="7" t="s">
        <v>165</v>
      </c>
      <c r="C415" s="7" t="s">
        <v>496</v>
      </c>
      <c r="D415" s="8">
        <v>2</v>
      </c>
      <c r="E415" s="8" t="s">
        <v>296</v>
      </c>
      <c r="F415" s="8" t="s">
        <v>8</v>
      </c>
      <c r="G415" s="8" t="s">
        <v>168</v>
      </c>
      <c r="H415" s="8" t="s">
        <v>55</v>
      </c>
      <c r="I415" s="2"/>
      <c r="J415" s="8">
        <v>2190</v>
      </c>
      <c r="K415" s="33" t="s">
        <v>55</v>
      </c>
      <c r="L415" s="32" t="str">
        <f t="shared" si="64"/>
        <v>172.29.12.71</v>
      </c>
      <c r="M415" s="32">
        <f>J415+30000</f>
        <v>32190</v>
      </c>
      <c r="N415" s="32" t="str">
        <f t="shared" si="65"/>
        <v>172.29.12.72</v>
      </c>
      <c r="O415" s="33">
        <f t="shared" si="67"/>
        <v>42190</v>
      </c>
      <c r="P415" s="33" t="s">
        <v>94</v>
      </c>
      <c r="Q415" s="34" t="s">
        <v>95</v>
      </c>
      <c r="R415" s="3" t="str">
        <f t="shared" si="66"/>
        <v>"2":{"type":"con","dst_persist":"n","src":{"32190":{"raddr":"172.29.12.71:0","mhdr":"BHb2","name":"NODO-01"},"42190":{"raddr":"172.29.12.72:0","mhdr":"BHb2","name":"NODO-02"}},"dst":{"mode":"server","raddr":"10.2.19.18:0","lport":"2190 BHb2","name":"Red ATM Colpatria in 1"},"plugin": {"file":"slb_plugin_rm_biciso.so","type":"RM"}},</v>
      </c>
    </row>
    <row r="416" spans="1:18" ht="15" thickBot="1">
      <c r="A416" s="30"/>
      <c r="B416" s="7" t="s">
        <v>166</v>
      </c>
      <c r="C416" s="7" t="s">
        <v>496</v>
      </c>
      <c r="D416" s="8">
        <v>3</v>
      </c>
      <c r="E416" s="8" t="s">
        <v>298</v>
      </c>
      <c r="F416" s="8" t="s">
        <v>14</v>
      </c>
      <c r="G416" s="8"/>
      <c r="H416" s="8" t="s">
        <v>55</v>
      </c>
      <c r="I416" s="8" t="s">
        <v>13</v>
      </c>
      <c r="J416" s="8">
        <v>3190</v>
      </c>
      <c r="K416" s="33" t="s">
        <v>55</v>
      </c>
      <c r="L416" s="32" t="str">
        <f t="shared" si="64"/>
        <v>172.29.12.71</v>
      </c>
      <c r="M416" s="32">
        <f>J416+50000</f>
        <v>53190</v>
      </c>
      <c r="N416" s="32" t="str">
        <f t="shared" si="65"/>
        <v>172.29.12.72</v>
      </c>
      <c r="O416" s="32">
        <f>+M416-30000</f>
        <v>23190</v>
      </c>
      <c r="P416" s="33" t="s">
        <v>94</v>
      </c>
      <c r="Q416" s="34" t="s">
        <v>95</v>
      </c>
      <c r="R416" s="3" t="str">
        <f t="shared" si="66"/>
        <v>"3":{"type":"con","dst_persist":"n","src":{"53190":{"raddr":"172.29.12.71:0","mhdr":"BHb2","name":"NODO-01"},"23190":{"raddr":"172.29.12.72:0","mhdr":"BHb2","name":"NODO-02"}},"dst":{"mode":"client","raddr":"172.19.207.40:3190","mhdr":"BHb2","name":"Red ATM Colpatria out 2"},"plugin": {"file":"slb_plugin_rm_biciso.so","type":"RM"}},</v>
      </c>
    </row>
    <row r="417" spans="1:18" ht="15" thickBot="1">
      <c r="A417" s="40"/>
      <c r="B417" s="16" t="s">
        <v>167</v>
      </c>
      <c r="C417" s="16" t="s">
        <v>496</v>
      </c>
      <c r="D417" s="17">
        <v>4</v>
      </c>
      <c r="E417" s="17" t="s">
        <v>304</v>
      </c>
      <c r="F417" s="17" t="s">
        <v>8</v>
      </c>
      <c r="G417" s="17" t="s">
        <v>168</v>
      </c>
      <c r="H417" s="17" t="s">
        <v>55</v>
      </c>
      <c r="I417" s="14"/>
      <c r="J417" s="17">
        <v>3190</v>
      </c>
      <c r="K417" s="35" t="s">
        <v>55</v>
      </c>
      <c r="L417" s="32" t="str">
        <f t="shared" si="64"/>
        <v>172.29.12.71</v>
      </c>
      <c r="M417" s="32">
        <f>J417+30000</f>
        <v>33190</v>
      </c>
      <c r="N417" s="32" t="str">
        <f t="shared" si="65"/>
        <v>172.29.12.72</v>
      </c>
      <c r="O417" s="35">
        <f t="shared" si="67"/>
        <v>43190</v>
      </c>
      <c r="P417" s="35" t="s">
        <v>94</v>
      </c>
      <c r="Q417" s="36" t="s">
        <v>96</v>
      </c>
      <c r="R417" s="3" t="str">
        <f t="shared" si="66"/>
        <v>"4":{"type":"con","dst_persist":"n","src":{"33190":{"raddr":"172.29.12.71:0","mhdr":"BHb2","name":"NODO-01"},"43190":{"raddr":"172.29.12.72:0","mhdr":"BHb2","name":"NODO-02"}},"dst":{"mode":"server","raddr":"10.2.19.18:0","lport":"3190 BHb2","name":"Red ATM Colpatria in 2"},"plugin": {"file":"slb_plugin_rm_biciso.so","type":"RM"}}}},</v>
      </c>
    </row>
    <row r="418" spans="1:18" ht="15" thickBot="1">
      <c r="A418" s="47">
        <v>13</v>
      </c>
      <c r="B418" s="23" t="s">
        <v>169</v>
      </c>
      <c r="C418" s="23" t="s">
        <v>496</v>
      </c>
      <c r="D418" s="29">
        <v>1</v>
      </c>
      <c r="E418" s="29" t="s">
        <v>307</v>
      </c>
      <c r="F418" s="29" t="s">
        <v>14</v>
      </c>
      <c r="G418" s="29"/>
      <c r="H418" s="29" t="s">
        <v>437</v>
      </c>
      <c r="I418" s="29" t="s">
        <v>13</v>
      </c>
      <c r="J418" s="29">
        <v>2203</v>
      </c>
      <c r="K418" s="32" t="s">
        <v>437</v>
      </c>
      <c r="L418" s="32" t="str">
        <f t="shared" si="64"/>
        <v>172.29.12.71</v>
      </c>
      <c r="M418" s="32">
        <v>52203</v>
      </c>
      <c r="N418" s="32" t="str">
        <f t="shared" si="65"/>
        <v>172.29.12.72</v>
      </c>
      <c r="O418" s="32">
        <f>+M418-30000</f>
        <v>22203</v>
      </c>
      <c r="P418" s="32" t="s">
        <v>94</v>
      </c>
      <c r="Q418" s="49" t="s">
        <v>95</v>
      </c>
      <c r="R418" s="3" t="str">
        <f t="shared" si="66"/>
        <v>"13":{"rules":{"1":{"type":"con","dst_persist":"n","src":{"52203":{"raddr":"172.29.12.71:0","mhdr":"iBHb2","name":"NODO-01"},"22203":{"raddr":"172.29.12.72:0","mhdr":"iBHb2","name":"NODO-02"}},"dst":{"mode":"client","raddr":"172.19.207.40:2203","mhdr":"iBHb2","name":"Red ATM Bancolo out 1"},"plugin": {"file":"slb_plugin_rm_biciso.so","type":"RM"}},</v>
      </c>
    </row>
    <row r="419" spans="1:18" ht="15" thickBot="1">
      <c r="A419" s="30"/>
      <c r="B419" s="7" t="s">
        <v>170</v>
      </c>
      <c r="C419" s="7" t="s">
        <v>496</v>
      </c>
      <c r="D419" s="8">
        <v>2</v>
      </c>
      <c r="E419" s="8" t="s">
        <v>308</v>
      </c>
      <c r="F419" s="8" t="s">
        <v>8</v>
      </c>
      <c r="G419" s="8" t="s">
        <v>125</v>
      </c>
      <c r="H419" s="8" t="s">
        <v>437</v>
      </c>
      <c r="I419" s="2"/>
      <c r="J419" s="8">
        <v>2203</v>
      </c>
      <c r="K419" s="33" t="s">
        <v>437</v>
      </c>
      <c r="L419" s="32" t="str">
        <f t="shared" si="64"/>
        <v>172.29.12.71</v>
      </c>
      <c r="M419" s="33">
        <v>32203</v>
      </c>
      <c r="N419" s="32" t="str">
        <f t="shared" si="65"/>
        <v>172.29.12.72</v>
      </c>
      <c r="O419" s="33">
        <f>+M419+10000</f>
        <v>42203</v>
      </c>
      <c r="P419" s="33" t="s">
        <v>94</v>
      </c>
      <c r="Q419" s="34" t="s">
        <v>95</v>
      </c>
      <c r="R419" s="3" t="str">
        <f t="shared" si="66"/>
        <v>"2":{"type":"con","dst_persist":"n","src":{"32203":{"raddr":"172.29.12.71:0","mhdr":"iBHb2","name":"NODO-01"},"42203":{"raddr":"172.29.12.72:0","mhdr":"iBHb2","name":"NODO-02"}},"dst":{"mode":"server","raddr":"10.2.3.132:0","lport":"2203 iBHb2","name":"Red ATM Bancolo in 1"},"plugin": {"file":"slb_plugin_rm_biciso.so","type":"RM"}},</v>
      </c>
    </row>
    <row r="420" spans="1:18" ht="15" thickBot="1">
      <c r="A420" s="30"/>
      <c r="B420" s="7" t="s">
        <v>171</v>
      </c>
      <c r="C420" s="7" t="s">
        <v>496</v>
      </c>
      <c r="D420" s="8">
        <v>3</v>
      </c>
      <c r="E420" s="8" t="s">
        <v>309</v>
      </c>
      <c r="F420" s="8" t="s">
        <v>14</v>
      </c>
      <c r="G420" s="8"/>
      <c r="H420" s="8" t="s">
        <v>437</v>
      </c>
      <c r="I420" s="8" t="s">
        <v>13</v>
      </c>
      <c r="J420" s="8">
        <v>2303</v>
      </c>
      <c r="K420" s="33" t="s">
        <v>437</v>
      </c>
      <c r="L420" s="32" t="str">
        <f t="shared" si="64"/>
        <v>172.29.12.71</v>
      </c>
      <c r="M420" s="33">
        <v>52303</v>
      </c>
      <c r="N420" s="32" t="str">
        <f t="shared" si="65"/>
        <v>172.29.12.72</v>
      </c>
      <c r="O420" s="33">
        <f>+M420-30000</f>
        <v>22303</v>
      </c>
      <c r="P420" s="33" t="s">
        <v>94</v>
      </c>
      <c r="Q420" s="34" t="s">
        <v>95</v>
      </c>
      <c r="R420" s="3" t="str">
        <f t="shared" si="66"/>
        <v>"3":{"type":"con","dst_persist":"n","src":{"52303":{"raddr":"172.29.12.71:0","mhdr":"iBHb2","name":"NODO-01"},"22303":{"raddr":"172.29.12.72:0","mhdr":"iBHb2","name":"NODO-02"}},"dst":{"mode":"client","raddr":"172.19.207.40:2303","mhdr":"iBHb2","name":"Red ATM Bancolo out 2"},"plugin": {"file":"slb_plugin_rm_biciso.so","type":"RM"}},</v>
      </c>
    </row>
    <row r="421" spans="1:18" ht="15" thickBot="1">
      <c r="A421" s="30"/>
      <c r="B421" s="7" t="s">
        <v>172</v>
      </c>
      <c r="C421" s="7" t="s">
        <v>496</v>
      </c>
      <c r="D421" s="8">
        <v>4</v>
      </c>
      <c r="E421" s="8" t="s">
        <v>305</v>
      </c>
      <c r="F421" s="8" t="s">
        <v>8</v>
      </c>
      <c r="G421" s="8" t="s">
        <v>125</v>
      </c>
      <c r="H421" s="8" t="s">
        <v>437</v>
      </c>
      <c r="I421" s="2"/>
      <c r="J421" s="8">
        <v>2303</v>
      </c>
      <c r="K421" s="33" t="s">
        <v>437</v>
      </c>
      <c r="L421" s="32" t="str">
        <f t="shared" si="64"/>
        <v>172.29.12.71</v>
      </c>
      <c r="M421" s="33">
        <v>32303</v>
      </c>
      <c r="N421" s="32" t="str">
        <f t="shared" si="65"/>
        <v>172.29.12.72</v>
      </c>
      <c r="O421" s="33">
        <f>+M421+10000</f>
        <v>42303</v>
      </c>
      <c r="P421" s="33" t="s">
        <v>94</v>
      </c>
      <c r="Q421" s="34" t="s">
        <v>95</v>
      </c>
      <c r="R421" s="3" t="str">
        <f t="shared" si="66"/>
        <v>"4":{"type":"con","dst_persist":"n","src":{"32303":{"raddr":"172.29.12.71:0","mhdr":"iBHb2","name":"NODO-01"},"42303":{"raddr":"172.29.12.72:0","mhdr":"iBHb2","name":"NODO-02"}},"dst":{"mode":"server","raddr":"10.2.3.132:0","lport":"2303 iBHb2","name":"Red ATM Bancolo in 2"},"plugin": {"file":"slb_plugin_rm_biciso.so","type":"RM"}},</v>
      </c>
    </row>
    <row r="422" spans="1:18" ht="15" thickBot="1">
      <c r="A422" s="30"/>
      <c r="B422" s="7" t="s">
        <v>173</v>
      </c>
      <c r="C422" s="7" t="s">
        <v>496</v>
      </c>
      <c r="D422" s="8">
        <v>5</v>
      </c>
      <c r="E422" s="8" t="s">
        <v>306</v>
      </c>
      <c r="F422" s="8" t="s">
        <v>14</v>
      </c>
      <c r="G422" s="8"/>
      <c r="H422" s="8" t="s">
        <v>437</v>
      </c>
      <c r="I422" s="8" t="s">
        <v>13</v>
      </c>
      <c r="J422" s="8">
        <v>2403</v>
      </c>
      <c r="K422" s="33" t="s">
        <v>437</v>
      </c>
      <c r="L422" s="32" t="str">
        <f t="shared" si="64"/>
        <v>172.29.12.71</v>
      </c>
      <c r="M422" s="33">
        <v>52403</v>
      </c>
      <c r="N422" s="32" t="str">
        <f t="shared" si="65"/>
        <v>172.29.12.72</v>
      </c>
      <c r="O422" s="33">
        <f>+M422-30000</f>
        <v>22403</v>
      </c>
      <c r="P422" s="33" t="s">
        <v>94</v>
      </c>
      <c r="Q422" s="34" t="s">
        <v>95</v>
      </c>
      <c r="R422" s="3" t="str">
        <f t="shared" si="66"/>
        <v>"5":{"type":"con","dst_persist":"n","src":{"52403":{"raddr":"172.29.12.71:0","mhdr":"iBHb2","name":"NODO-01"},"22403":{"raddr":"172.29.12.72:0","mhdr":"iBHb2","name":"NODO-02"}},"dst":{"mode":"client","raddr":"172.19.207.40:2403","mhdr":"iBHb2","name":"Red ATM Bancolo out 3"},"plugin": {"file":"slb_plugin_rm_biciso.so","type":"RM"}},</v>
      </c>
    </row>
    <row r="423" spans="1:18" ht="15" thickBot="1">
      <c r="A423" s="40"/>
      <c r="B423" s="16" t="s">
        <v>174</v>
      </c>
      <c r="C423" s="16" t="s">
        <v>496</v>
      </c>
      <c r="D423" s="17">
        <v>6</v>
      </c>
      <c r="E423" s="17" t="s">
        <v>310</v>
      </c>
      <c r="F423" s="17" t="s">
        <v>8</v>
      </c>
      <c r="G423" s="17" t="s">
        <v>125</v>
      </c>
      <c r="H423" s="17" t="s">
        <v>437</v>
      </c>
      <c r="I423" s="14"/>
      <c r="J423" s="17">
        <v>2403</v>
      </c>
      <c r="K423" s="35" t="s">
        <v>437</v>
      </c>
      <c r="L423" s="32" t="str">
        <f t="shared" ref="L423:L449" si="68">+$B$359</f>
        <v>172.29.12.71</v>
      </c>
      <c r="M423" s="35">
        <v>32403</v>
      </c>
      <c r="N423" s="32" t="str">
        <f t="shared" ref="N423:N446" si="69">+$B$360</f>
        <v>172.29.12.72</v>
      </c>
      <c r="O423" s="35">
        <f>+M423+10000</f>
        <v>42403</v>
      </c>
      <c r="P423" s="35" t="s">
        <v>94</v>
      </c>
      <c r="Q423" s="36" t="s">
        <v>96</v>
      </c>
      <c r="R423" s="3" t="str">
        <f t="shared" si="66"/>
        <v>"6":{"type":"con","dst_persist":"n","src":{"32403":{"raddr":"172.29.12.71:0","mhdr":"iBHb2","name":"NODO-01"},"42403":{"raddr":"172.29.12.72:0","mhdr":"iBHb2","name":"NODO-02"}},"dst":{"mode":"server","raddr":"10.2.3.132:0","lport":"2403 iBHb2","name":"Red ATM Bancolo in 3"},"plugin": {"file":"slb_plugin_rm_biciso.so","type":"RM"}}}},</v>
      </c>
    </row>
    <row r="424" spans="1:18" ht="15" thickBot="1">
      <c r="A424" s="47">
        <v>14</v>
      </c>
      <c r="B424" s="23" t="s">
        <v>175</v>
      </c>
      <c r="C424" s="23" t="s">
        <v>496</v>
      </c>
      <c r="D424" s="29">
        <v>1</v>
      </c>
      <c r="E424" s="29" t="s">
        <v>311</v>
      </c>
      <c r="F424" s="29" t="s">
        <v>14</v>
      </c>
      <c r="G424" s="29"/>
      <c r="H424" s="29" t="s">
        <v>437</v>
      </c>
      <c r="I424" s="29" t="s">
        <v>516</v>
      </c>
      <c r="J424" s="29">
        <v>3207</v>
      </c>
      <c r="K424" s="32" t="s">
        <v>437</v>
      </c>
      <c r="L424" s="32" t="str">
        <f t="shared" si="68"/>
        <v>172.29.12.71</v>
      </c>
      <c r="M424" s="32">
        <v>53207</v>
      </c>
      <c r="N424" s="32" t="str">
        <f t="shared" si="69"/>
        <v>172.29.12.72</v>
      </c>
      <c r="O424" s="32">
        <f>+M424-30000</f>
        <v>23207</v>
      </c>
      <c r="P424" s="32" t="s">
        <v>136</v>
      </c>
      <c r="Q424" s="49" t="s">
        <v>95</v>
      </c>
      <c r="R424" s="3" t="str">
        <f t="shared" si="66"/>
        <v>"14":{"rules":{"1":{"type":"con","dst_persist":"n","src":{"53207":{"raddr":"172.29.12.71:0","mhdr":"iBHb2","name":"NODO-01"},"23207":{"raddr":"172.29.12.72:0","mhdr":"iBHb2","name":"NODO-02"}},"dst":{"mode":"client","raddr":"172.19.207.40x:3207","mhdr":"iBHb2","name":"Red ATM AMXcolo out 1"},"plugin": {"file":"slb_plugin_rm_amex.so","type":"RM"}},</v>
      </c>
    </row>
    <row r="425" spans="1:18" ht="15" thickBot="1">
      <c r="A425" s="30"/>
      <c r="B425" s="7" t="s">
        <v>176</v>
      </c>
      <c r="C425" s="7" t="s">
        <v>496</v>
      </c>
      <c r="D425" s="8">
        <v>2</v>
      </c>
      <c r="E425" s="8" t="s">
        <v>312</v>
      </c>
      <c r="F425" s="8" t="s">
        <v>8</v>
      </c>
      <c r="G425" s="8" t="s">
        <v>125</v>
      </c>
      <c r="H425" s="8" t="s">
        <v>437</v>
      </c>
      <c r="I425" s="2"/>
      <c r="J425" s="8">
        <v>3207</v>
      </c>
      <c r="K425" s="33" t="s">
        <v>437</v>
      </c>
      <c r="L425" s="32" t="str">
        <f t="shared" si="68"/>
        <v>172.29.12.71</v>
      </c>
      <c r="M425" s="33">
        <v>33207</v>
      </c>
      <c r="N425" s="32" t="str">
        <f t="shared" si="69"/>
        <v>172.29.12.72</v>
      </c>
      <c r="O425" s="33">
        <f t="shared" ref="O425" si="70">+M425+10000</f>
        <v>43207</v>
      </c>
      <c r="P425" s="33" t="s">
        <v>136</v>
      </c>
      <c r="Q425" s="34" t="s">
        <v>95</v>
      </c>
      <c r="R425" s="3" t="str">
        <f t="shared" si="66"/>
        <v>"2":{"type":"con","dst_persist":"n","src":{"33207":{"raddr":"172.29.12.71:0","mhdr":"iBHb2","name":"NODO-01"},"43207":{"raddr":"172.29.12.72:0","mhdr":"iBHb2","name":"NODO-02"}},"dst":{"mode":"server","raddr":"10.2.3.132:0","lport":"3207 iBHb2","name":"Red ATM AMXcolo in 1"},"plugin": {"file":"slb_plugin_rm_amex.so","type":"RM"}},</v>
      </c>
    </row>
    <row r="426" spans="1:18" ht="15" thickBot="1">
      <c r="A426" s="30"/>
      <c r="B426" s="7" t="s">
        <v>177</v>
      </c>
      <c r="C426" s="7" t="s">
        <v>496</v>
      </c>
      <c r="D426" s="8">
        <v>3</v>
      </c>
      <c r="E426" s="8" t="s">
        <v>313</v>
      </c>
      <c r="F426" s="8" t="s">
        <v>14</v>
      </c>
      <c r="G426" s="8"/>
      <c r="H426" s="8" t="s">
        <v>437</v>
      </c>
      <c r="I426" s="8" t="s">
        <v>13</v>
      </c>
      <c r="J426" s="8">
        <v>3407</v>
      </c>
      <c r="K426" s="33" t="s">
        <v>437</v>
      </c>
      <c r="L426" s="32" t="str">
        <f t="shared" si="68"/>
        <v>172.29.12.71</v>
      </c>
      <c r="M426" s="33">
        <v>53407</v>
      </c>
      <c r="N426" s="32" t="str">
        <f t="shared" si="69"/>
        <v>172.29.12.72</v>
      </c>
      <c r="O426" s="33">
        <f>+M426-30000</f>
        <v>23407</v>
      </c>
      <c r="P426" s="33" t="s">
        <v>136</v>
      </c>
      <c r="Q426" s="34" t="s">
        <v>95</v>
      </c>
      <c r="R426" s="3" t="str">
        <f t="shared" si="66"/>
        <v>"3":{"type":"con","dst_persist":"n","src":{"53407":{"raddr":"172.29.12.71:0","mhdr":"iBHb2","name":"NODO-01"},"23407":{"raddr":"172.29.12.72:0","mhdr":"iBHb2","name":"NODO-02"}},"dst":{"mode":"client","raddr":"172.19.207.40:3407","mhdr":"iBHb2","name":"Red ATM AMXcolo out 2"},"plugin": {"file":"slb_plugin_rm_amex.so","type":"RM"}},</v>
      </c>
    </row>
    <row r="427" spans="1:18" ht="15" thickBot="1">
      <c r="A427" s="30"/>
      <c r="B427" s="7" t="s">
        <v>178</v>
      </c>
      <c r="C427" s="7" t="s">
        <v>496</v>
      </c>
      <c r="D427" s="8">
        <v>4</v>
      </c>
      <c r="E427" s="8" t="s">
        <v>314</v>
      </c>
      <c r="F427" s="8" t="s">
        <v>8</v>
      </c>
      <c r="G427" s="8" t="s">
        <v>125</v>
      </c>
      <c r="H427" s="8" t="s">
        <v>437</v>
      </c>
      <c r="I427" s="2"/>
      <c r="J427" s="8">
        <v>3407</v>
      </c>
      <c r="K427" s="33" t="s">
        <v>437</v>
      </c>
      <c r="L427" s="32" t="str">
        <f t="shared" si="68"/>
        <v>172.29.12.71</v>
      </c>
      <c r="M427" s="33">
        <v>33407</v>
      </c>
      <c r="N427" s="32" t="str">
        <f t="shared" si="69"/>
        <v>172.29.12.72</v>
      </c>
      <c r="O427" s="33">
        <f t="shared" ref="O427" si="71">+M427+10000</f>
        <v>43407</v>
      </c>
      <c r="P427" s="33" t="s">
        <v>136</v>
      </c>
      <c r="Q427" s="34" t="s">
        <v>95</v>
      </c>
      <c r="R427" s="3" t="str">
        <f t="shared" ref="R427:R459" si="72">CONCATENATE(IF(A427&lt;&gt;"",CONCATENATE("""",A427,"""",":{","""","rules","""",":{"),""),"""",D427,""":{""type"":""con"",""dst_persist"":""n"",""src"":{""",M427,""":{""raddr"":""",L427,":0"",""mhdr"":""",K427,""",","""name""",":","""NODO-01","""},""",O427,""":{""raddr"":""",N427,":0"",""mhdr"":""",K427,""",","""name""",":","""NODO-02","""}},","""dst"":{""mode"":""",F427,""",""raddr"":""",IF(F427="server",G427,I427),":",IF(F427="server",0,J427),""",""",IF(F427="server","lport","mhdr"),""":""",IF(F427="server",J427,""),IF(F427="server"," ",""),K427,""",","""name""",":","""",B427,IF(P427&lt;&gt;"",CONCATENATE("""},","""plugin""",": {","""file""",":""",P427,""",","""type""",":","""","RM",""""),""""),Q427)</f>
        <v>"4":{"type":"con","dst_persist":"n","src":{"33407":{"raddr":"172.29.12.71:0","mhdr":"iBHb2","name":"NODO-01"},"43407":{"raddr":"172.29.12.72:0","mhdr":"iBHb2","name":"NODO-02"}},"dst":{"mode":"server","raddr":"10.2.3.132:0","lport":"3407 iBHb2","name":"Red ATM AMXcolo in 2"},"plugin": {"file":"slb_plugin_rm_amex.so","type":"RM"}},</v>
      </c>
    </row>
    <row r="428" spans="1:18" ht="15" thickBot="1">
      <c r="A428" s="30"/>
      <c r="B428" s="7" t="s">
        <v>179</v>
      </c>
      <c r="C428" s="7" t="s">
        <v>496</v>
      </c>
      <c r="D428" s="8">
        <v>5</v>
      </c>
      <c r="E428" s="8" t="s">
        <v>315</v>
      </c>
      <c r="F428" s="8" t="s">
        <v>14</v>
      </c>
      <c r="G428" s="8"/>
      <c r="H428" s="8" t="s">
        <v>437</v>
      </c>
      <c r="I428" s="8" t="s">
        <v>13</v>
      </c>
      <c r="J428" s="8">
        <v>3507</v>
      </c>
      <c r="K428" s="33" t="s">
        <v>437</v>
      </c>
      <c r="L428" s="32" t="str">
        <f t="shared" si="68"/>
        <v>172.29.12.71</v>
      </c>
      <c r="M428" s="33">
        <v>53507</v>
      </c>
      <c r="N428" s="32" t="str">
        <f t="shared" si="69"/>
        <v>172.29.12.72</v>
      </c>
      <c r="O428" s="33">
        <f>+M428-30000</f>
        <v>23507</v>
      </c>
      <c r="P428" s="33" t="s">
        <v>136</v>
      </c>
      <c r="Q428" s="34" t="s">
        <v>95</v>
      </c>
      <c r="R428" s="3" t="str">
        <f t="shared" si="72"/>
        <v>"5":{"type":"con","dst_persist":"n","src":{"53507":{"raddr":"172.29.12.71:0","mhdr":"iBHb2","name":"NODO-01"},"23507":{"raddr":"172.29.12.72:0","mhdr":"iBHb2","name":"NODO-02"}},"dst":{"mode":"client","raddr":"172.19.207.40:3507","mhdr":"iBHb2","name":"Red ATM AMXcolo out 3"},"plugin": {"file":"slb_plugin_rm_amex.so","type":"RM"}},</v>
      </c>
    </row>
    <row r="429" spans="1:18" ht="15" thickBot="1">
      <c r="A429" s="40"/>
      <c r="B429" s="16" t="s">
        <v>180</v>
      </c>
      <c r="C429" s="16" t="s">
        <v>496</v>
      </c>
      <c r="D429" s="17">
        <v>6</v>
      </c>
      <c r="E429" s="17" t="s">
        <v>316</v>
      </c>
      <c r="F429" s="17" t="s">
        <v>8</v>
      </c>
      <c r="G429" s="17" t="s">
        <v>125</v>
      </c>
      <c r="H429" s="17" t="s">
        <v>437</v>
      </c>
      <c r="I429" s="14"/>
      <c r="J429" s="17">
        <v>3507</v>
      </c>
      <c r="K429" s="35" t="s">
        <v>437</v>
      </c>
      <c r="L429" s="32" t="str">
        <f t="shared" si="68"/>
        <v>172.29.12.71</v>
      </c>
      <c r="M429" s="35">
        <v>33507</v>
      </c>
      <c r="N429" s="32" t="str">
        <f t="shared" si="69"/>
        <v>172.29.12.72</v>
      </c>
      <c r="O429" s="35">
        <f t="shared" ref="O429" si="73">+M429+10000</f>
        <v>43507</v>
      </c>
      <c r="P429" s="35" t="s">
        <v>136</v>
      </c>
      <c r="Q429" s="36" t="s">
        <v>96</v>
      </c>
      <c r="R429" s="3" t="str">
        <f t="shared" si="72"/>
        <v>"6":{"type":"con","dst_persist":"n","src":{"33507":{"raddr":"172.29.12.71:0","mhdr":"iBHb2","name":"NODO-01"},"43507":{"raddr":"172.29.12.72:0","mhdr":"iBHb2","name":"NODO-02"}},"dst":{"mode":"server","raddr":"10.2.3.132:0","lport":"3507 iBHb2","name":"Red ATM AMXcolo in 3"},"plugin": {"file":"slb_plugin_rm_amex.so","type":"RM"}}}},</v>
      </c>
    </row>
    <row r="430" spans="1:18" ht="15" thickBot="1">
      <c r="A430" s="47">
        <v>15</v>
      </c>
      <c r="B430" s="23" t="s">
        <v>181</v>
      </c>
      <c r="C430" s="23" t="s">
        <v>497</v>
      </c>
      <c r="D430" s="29">
        <v>1</v>
      </c>
      <c r="E430" s="29" t="s">
        <v>321</v>
      </c>
      <c r="F430" s="29" t="s">
        <v>8</v>
      </c>
      <c r="G430" s="29" t="s">
        <v>183</v>
      </c>
      <c r="H430" s="29" t="s">
        <v>55</v>
      </c>
      <c r="I430" s="10"/>
      <c r="J430" s="29">
        <v>5226</v>
      </c>
      <c r="K430" s="32" t="s">
        <v>55</v>
      </c>
      <c r="L430" s="32" t="str">
        <f t="shared" si="68"/>
        <v>172.29.12.71</v>
      </c>
      <c r="M430" s="32">
        <v>35216</v>
      </c>
      <c r="N430" s="32" t="str">
        <f t="shared" si="69"/>
        <v>172.29.12.72</v>
      </c>
      <c r="O430" s="32">
        <f t="shared" ref="O430:O445" si="74">+M430+10000</f>
        <v>45216</v>
      </c>
      <c r="P430" s="32" t="s">
        <v>94</v>
      </c>
      <c r="Q430" s="49" t="s">
        <v>95</v>
      </c>
      <c r="R430" s="3" t="str">
        <f t="shared" si="72"/>
        <v>"15":{"rules":{"1":{"type":"con","dst_persist":"n","src":{"35216":{"raddr":"172.29.12.71:0","mhdr":"BHb2","name":"NODO-01"},"45216":{"raddr":"172.29.12.72:0","mhdr":"BHb2","name":"NODO-02"}},"dst":{"mode":"server","raddr":"10.90.2.66:0","lport":"5226 BHb2","name":"Aviatur In"},"plugin": {"file":"slb_plugin_rm_biciso.so","type":"RM"}},</v>
      </c>
    </row>
    <row r="431" spans="1:18" ht="15" thickBot="1">
      <c r="A431" s="40"/>
      <c r="B431" s="16" t="s">
        <v>182</v>
      </c>
      <c r="C431" s="16" t="s">
        <v>497</v>
      </c>
      <c r="D431" s="17">
        <v>2</v>
      </c>
      <c r="E431" s="17" t="s">
        <v>322</v>
      </c>
      <c r="F431" s="17" t="s">
        <v>14</v>
      </c>
      <c r="G431" s="17"/>
      <c r="H431" s="17" t="s">
        <v>55</v>
      </c>
      <c r="I431" s="17" t="s">
        <v>13</v>
      </c>
      <c r="J431" s="17">
        <v>5226</v>
      </c>
      <c r="K431" s="35" t="s">
        <v>55</v>
      </c>
      <c r="L431" s="32" t="str">
        <f t="shared" si="68"/>
        <v>172.29.12.71</v>
      </c>
      <c r="M431" s="35">
        <v>35226</v>
      </c>
      <c r="N431" s="32" t="str">
        <f t="shared" si="69"/>
        <v>172.29.12.72</v>
      </c>
      <c r="O431" s="35">
        <f t="shared" si="74"/>
        <v>45226</v>
      </c>
      <c r="P431" s="35" t="s">
        <v>94</v>
      </c>
      <c r="Q431" s="36" t="s">
        <v>96</v>
      </c>
      <c r="R431" s="3" t="str">
        <f t="shared" si="72"/>
        <v>"2":{"type":"con","dst_persist":"n","src":{"35226":{"raddr":"172.29.12.71:0","mhdr":"BHb2","name":"NODO-01"},"45226":{"raddr":"172.29.12.72:0","mhdr":"BHb2","name":"NODO-02"}},"dst":{"mode":"client","raddr":"172.19.207.40:5226","mhdr":"BHb2","name":"Aviatur Out"},"plugin": {"file":"slb_plugin_rm_biciso.so","type":"RM"}}}},</v>
      </c>
    </row>
    <row r="432" spans="1:18" ht="15" thickBot="1">
      <c r="A432" s="47">
        <v>16</v>
      </c>
      <c r="B432" s="23" t="s">
        <v>184</v>
      </c>
      <c r="C432" s="23" t="s">
        <v>497</v>
      </c>
      <c r="D432" s="29">
        <v>1</v>
      </c>
      <c r="E432" s="29" t="s">
        <v>323</v>
      </c>
      <c r="F432" s="29" t="s">
        <v>8</v>
      </c>
      <c r="G432" s="29" t="s">
        <v>188</v>
      </c>
      <c r="H432" s="29" t="s">
        <v>55</v>
      </c>
      <c r="I432" s="10"/>
      <c r="J432" s="29">
        <v>8501</v>
      </c>
      <c r="K432" s="32" t="s">
        <v>55</v>
      </c>
      <c r="L432" s="32" t="str">
        <f t="shared" si="68"/>
        <v>172.29.12.71</v>
      </c>
      <c r="M432" s="32">
        <v>38501</v>
      </c>
      <c r="N432" s="32" t="str">
        <f t="shared" si="69"/>
        <v>172.29.12.72</v>
      </c>
      <c r="O432" s="32">
        <f t="shared" si="74"/>
        <v>48501</v>
      </c>
      <c r="P432" s="32" t="s">
        <v>94</v>
      </c>
      <c r="Q432" s="49" t="s">
        <v>95</v>
      </c>
      <c r="R432" s="3" t="str">
        <f t="shared" si="72"/>
        <v>"16":{"rules":{"1":{"type":"con","dst_persist":"n","src":{"38501":{"raddr":"172.29.12.71:0","mhdr":"BHb2","name":"NODO-01"},"48501":{"raddr":"172.29.12.72:0","mhdr":"BHb2","name":"NODO-02"}},"dst":{"mode":"server","raddr":"100.69.0.40:0","lport":"8501 BHb2","name":"MPOS Verifon In 1"},"plugin": {"file":"slb_plugin_rm_biciso.so","type":"RM"}},</v>
      </c>
    </row>
    <row r="433" spans="1:18" ht="15" thickBot="1">
      <c r="A433" s="30"/>
      <c r="B433" s="7" t="s">
        <v>185</v>
      </c>
      <c r="C433" s="7" t="s">
        <v>497</v>
      </c>
      <c r="D433" s="8">
        <v>2</v>
      </c>
      <c r="E433" s="8" t="s">
        <v>324</v>
      </c>
      <c r="F433" s="8" t="s">
        <v>14</v>
      </c>
      <c r="G433" s="2"/>
      <c r="H433" s="8" t="s">
        <v>55</v>
      </c>
      <c r="I433" s="8" t="s">
        <v>13</v>
      </c>
      <c r="J433" s="8">
        <v>8501</v>
      </c>
      <c r="K433" s="33" t="s">
        <v>55</v>
      </c>
      <c r="L433" s="32" t="str">
        <f t="shared" si="68"/>
        <v>172.29.12.71</v>
      </c>
      <c r="M433" s="33">
        <v>38511</v>
      </c>
      <c r="N433" s="32" t="str">
        <f t="shared" si="69"/>
        <v>172.29.12.72</v>
      </c>
      <c r="O433" s="33">
        <f t="shared" si="74"/>
        <v>48511</v>
      </c>
      <c r="P433" s="33" t="s">
        <v>94</v>
      </c>
      <c r="Q433" s="34" t="s">
        <v>95</v>
      </c>
      <c r="R433" s="3" t="str">
        <f t="shared" si="72"/>
        <v>"2":{"type":"con","dst_persist":"n","src":{"38511":{"raddr":"172.29.12.71:0","mhdr":"BHb2","name":"NODO-01"},"48511":{"raddr":"172.29.12.72:0","mhdr":"BHb2","name":"NODO-02"}},"dst":{"mode":"client","raddr":"172.19.207.40:8501","mhdr":"BHb2","name":"MPOS Verifon Out 1"},"plugin": {"file":"slb_plugin_rm_biciso.so","type":"RM"}},</v>
      </c>
    </row>
    <row r="434" spans="1:18" ht="15" thickBot="1">
      <c r="A434" s="30"/>
      <c r="B434" s="7" t="s">
        <v>186</v>
      </c>
      <c r="C434" s="7" t="s">
        <v>497</v>
      </c>
      <c r="D434" s="8">
        <v>3</v>
      </c>
      <c r="E434" s="8" t="s">
        <v>325</v>
      </c>
      <c r="F434" s="8" t="s">
        <v>8</v>
      </c>
      <c r="G434" s="8" t="s">
        <v>188</v>
      </c>
      <c r="H434" s="8" t="s">
        <v>55</v>
      </c>
      <c r="I434" s="8"/>
      <c r="J434" s="8">
        <v>8502</v>
      </c>
      <c r="K434" s="33" t="s">
        <v>55</v>
      </c>
      <c r="L434" s="32" t="str">
        <f t="shared" si="68"/>
        <v>172.29.12.71</v>
      </c>
      <c r="M434" s="33">
        <v>38502</v>
      </c>
      <c r="N434" s="32" t="str">
        <f t="shared" si="69"/>
        <v>172.29.12.72</v>
      </c>
      <c r="O434" s="33">
        <f t="shared" si="74"/>
        <v>48502</v>
      </c>
      <c r="P434" s="33" t="s">
        <v>94</v>
      </c>
      <c r="Q434" s="34" t="s">
        <v>95</v>
      </c>
      <c r="R434" s="3" t="str">
        <f t="shared" si="72"/>
        <v>"3":{"type":"con","dst_persist":"n","src":{"38502":{"raddr":"172.29.12.71:0","mhdr":"BHb2","name":"NODO-01"},"48502":{"raddr":"172.29.12.72:0","mhdr":"BHb2","name":"NODO-02"}},"dst":{"mode":"server","raddr":"100.69.0.40:0","lport":"8502 BHb2","name":"MPOS Verifon In 2"},"plugin": {"file":"slb_plugin_rm_biciso.so","type":"RM"}},</v>
      </c>
    </row>
    <row r="435" spans="1:18" ht="15" thickBot="1">
      <c r="A435" s="40"/>
      <c r="B435" s="16" t="s">
        <v>187</v>
      </c>
      <c r="C435" s="16" t="s">
        <v>497</v>
      </c>
      <c r="D435" s="17">
        <v>4</v>
      </c>
      <c r="E435" s="17" t="s">
        <v>326</v>
      </c>
      <c r="F435" s="17" t="s">
        <v>14</v>
      </c>
      <c r="G435" s="17"/>
      <c r="H435" s="17" t="s">
        <v>55</v>
      </c>
      <c r="I435" s="17" t="s">
        <v>163</v>
      </c>
      <c r="J435" s="17">
        <v>8502</v>
      </c>
      <c r="K435" s="35" t="s">
        <v>55</v>
      </c>
      <c r="L435" s="32" t="str">
        <f t="shared" si="68"/>
        <v>172.29.12.71</v>
      </c>
      <c r="M435" s="35">
        <v>38512</v>
      </c>
      <c r="N435" s="32" t="str">
        <f t="shared" si="69"/>
        <v>172.29.12.72</v>
      </c>
      <c r="O435" s="35">
        <f t="shared" si="74"/>
        <v>48512</v>
      </c>
      <c r="P435" s="35" t="s">
        <v>94</v>
      </c>
      <c r="Q435" s="36" t="s">
        <v>96</v>
      </c>
      <c r="R435" s="3" t="str">
        <f t="shared" si="72"/>
        <v>"4":{"type":"con","dst_persist":"n","src":{"38512":{"raddr":"172.29.12.71:0","mhdr":"BHb2","name":"NODO-01"},"48512":{"raddr":"172.29.12.72:0","mhdr":"BHb2","name":"NODO-02"}},"dst":{"mode":"client","raddr":"172.19.207.84:8502","mhdr":"BHb2","name":"MPOS Verifon Out 2"},"plugin": {"file":"slb_plugin_rm_biciso.so","type":"RM"}}}},</v>
      </c>
    </row>
    <row r="436" spans="1:18" ht="15" thickBot="1">
      <c r="A436" s="47">
        <v>17</v>
      </c>
      <c r="B436" s="23" t="s">
        <v>190</v>
      </c>
      <c r="C436" s="23" t="s">
        <v>497</v>
      </c>
      <c r="D436" s="29">
        <v>1</v>
      </c>
      <c r="E436" s="29" t="s">
        <v>327</v>
      </c>
      <c r="F436" s="29" t="s">
        <v>8</v>
      </c>
      <c r="G436" s="29" t="s">
        <v>192</v>
      </c>
      <c r="H436" s="29" t="s">
        <v>55</v>
      </c>
      <c r="I436" s="29"/>
      <c r="J436" s="29">
        <v>3479</v>
      </c>
      <c r="K436" s="32" t="s">
        <v>55</v>
      </c>
      <c r="L436" s="32" t="str">
        <f t="shared" si="68"/>
        <v>172.29.12.71</v>
      </c>
      <c r="M436" s="32">
        <v>33479</v>
      </c>
      <c r="N436" s="32" t="str">
        <f t="shared" si="69"/>
        <v>172.29.12.72</v>
      </c>
      <c r="O436" s="32">
        <f t="shared" si="74"/>
        <v>43479</v>
      </c>
      <c r="P436" s="32" t="s">
        <v>94</v>
      </c>
      <c r="Q436" s="49" t="s">
        <v>95</v>
      </c>
      <c r="R436" s="3" t="str">
        <f t="shared" si="72"/>
        <v>"17":{"rules":{"1":{"type":"con","dst_persist":"n","src":{"33479":{"raddr":"172.29.12.71:0","mhdr":"BHb2","name":"NODO-01"},"43479":{"raddr":"172.29.12.72:0","mhdr":"BHb2","name":"NODO-02"}},"dst":{"mode":"server","raddr":"10.99.77.10:0","lport":"3479 BHb2","name":"iPay In 1"},"plugin": {"file":"slb_plugin_rm_biciso.so","type":"RM"}},</v>
      </c>
    </row>
    <row r="437" spans="1:18" ht="15" thickBot="1">
      <c r="A437" s="47"/>
      <c r="B437" s="23" t="s">
        <v>1414</v>
      </c>
      <c r="C437" s="10" t="s">
        <v>496</v>
      </c>
      <c r="D437" s="29">
        <v>2</v>
      </c>
      <c r="E437" s="29"/>
      <c r="F437" s="29" t="s">
        <v>8</v>
      </c>
      <c r="G437" s="29" t="s">
        <v>192</v>
      </c>
      <c r="H437" s="29" t="s">
        <v>55</v>
      </c>
      <c r="I437" s="29"/>
      <c r="J437" s="29">
        <v>3546</v>
      </c>
      <c r="K437" s="32" t="s">
        <v>55</v>
      </c>
      <c r="L437" s="32" t="str">
        <f t="shared" si="68"/>
        <v>172.29.12.71</v>
      </c>
      <c r="M437" s="32">
        <f>J437+30000</f>
        <v>33546</v>
      </c>
      <c r="N437" s="32" t="str">
        <f t="shared" si="69"/>
        <v>172.29.12.72</v>
      </c>
      <c r="O437" s="32">
        <f t="shared" si="74"/>
        <v>43546</v>
      </c>
      <c r="P437" s="32" t="s">
        <v>94</v>
      </c>
      <c r="Q437" s="49" t="s">
        <v>95</v>
      </c>
      <c r="R437" s="3" t="str">
        <f t="shared" si="72"/>
        <v>"2":{"type":"con","dst_persist":"n","src":{"33546":{"raddr":"172.29.12.71:0","mhdr":"BHb2","name":"NODO-01"},"43546":{"raddr":"172.29.12.72:0","mhdr":"BHb2","name":"NODO-02"}},"dst":{"mode":"server","raddr":"10.99.77.10:0","lport":"3546 BHb2","name":"iPay In 2"},"plugin": {"file":"slb_plugin_rm_biciso.so","type":"RM"}},</v>
      </c>
    </row>
    <row r="438" spans="1:18" ht="15" thickBot="1">
      <c r="A438" s="47"/>
      <c r="B438" s="23" t="s">
        <v>1415</v>
      </c>
      <c r="C438" s="10" t="s">
        <v>496</v>
      </c>
      <c r="D438" s="29">
        <v>3</v>
      </c>
      <c r="E438" s="29"/>
      <c r="F438" s="29" t="s">
        <v>8</v>
      </c>
      <c r="G438" s="29" t="s">
        <v>192</v>
      </c>
      <c r="H438" s="29" t="s">
        <v>55</v>
      </c>
      <c r="I438" s="29"/>
      <c r="J438" s="29">
        <v>3547</v>
      </c>
      <c r="K438" s="32" t="s">
        <v>55</v>
      </c>
      <c r="L438" s="32" t="str">
        <f t="shared" si="68"/>
        <v>172.29.12.71</v>
      </c>
      <c r="M438" s="32">
        <f>J438+30000</f>
        <v>33547</v>
      </c>
      <c r="N438" s="32" t="str">
        <f t="shared" si="69"/>
        <v>172.29.12.72</v>
      </c>
      <c r="O438" s="32">
        <f t="shared" si="74"/>
        <v>43547</v>
      </c>
      <c r="P438" s="32" t="s">
        <v>94</v>
      </c>
      <c r="Q438" s="49" t="s">
        <v>95</v>
      </c>
      <c r="R438" s="3" t="str">
        <f t="shared" si="72"/>
        <v>"3":{"type":"con","dst_persist":"n","src":{"33547":{"raddr":"172.29.12.71:0","mhdr":"BHb2","name":"NODO-01"},"43547":{"raddr":"172.29.12.72:0","mhdr":"BHb2","name":"NODO-02"}},"dst":{"mode":"server","raddr":"10.99.77.10:0","lport":"3547 BHb2","name":"iPay In 3"},"plugin": {"file":"slb_plugin_rm_biciso.so","type":"RM"}},</v>
      </c>
    </row>
    <row r="439" spans="1:18" ht="15" thickBot="1">
      <c r="A439" s="40"/>
      <c r="B439" s="16" t="s">
        <v>191</v>
      </c>
      <c r="C439" s="16" t="s">
        <v>497</v>
      </c>
      <c r="D439" s="17">
        <v>4</v>
      </c>
      <c r="E439" s="17" t="s">
        <v>328</v>
      </c>
      <c r="F439" s="17" t="s">
        <v>14</v>
      </c>
      <c r="G439" s="17"/>
      <c r="H439" s="17" t="s">
        <v>55</v>
      </c>
      <c r="I439" s="17" t="s">
        <v>13</v>
      </c>
      <c r="J439" s="17">
        <v>3544</v>
      </c>
      <c r="K439" s="35" t="s">
        <v>55</v>
      </c>
      <c r="L439" s="32" t="str">
        <f t="shared" si="68"/>
        <v>172.29.12.71</v>
      </c>
      <c r="M439" s="35">
        <v>33544</v>
      </c>
      <c r="N439" s="32" t="str">
        <f t="shared" si="69"/>
        <v>172.29.12.72</v>
      </c>
      <c r="O439" s="35">
        <f t="shared" si="74"/>
        <v>43544</v>
      </c>
      <c r="P439" s="35" t="s">
        <v>94</v>
      </c>
      <c r="Q439" s="36" t="s">
        <v>95</v>
      </c>
      <c r="R439" s="3" t="str">
        <f t="shared" si="72"/>
        <v>"4":{"type":"con","dst_persist":"n","src":{"33544":{"raddr":"172.29.12.71:0","mhdr":"BHb2","name":"NODO-01"},"43544":{"raddr":"172.29.12.72:0","mhdr":"BHb2","name":"NODO-02"}},"dst":{"mode":"client","raddr":"172.19.207.40:3544","mhdr":"BHb2","name":"iPay Out 1"},"plugin": {"file":"slb_plugin_rm_biciso.so","type":"RM"}},</v>
      </c>
    </row>
    <row r="440" spans="1:18" ht="15" thickBot="1">
      <c r="A440" s="40"/>
      <c r="B440" s="16" t="s">
        <v>1416</v>
      </c>
      <c r="C440" s="14" t="s">
        <v>496</v>
      </c>
      <c r="D440" s="17">
        <v>5</v>
      </c>
      <c r="E440" s="17"/>
      <c r="F440" s="17" t="s">
        <v>14</v>
      </c>
      <c r="G440" s="17"/>
      <c r="H440" s="17" t="s">
        <v>55</v>
      </c>
      <c r="I440" s="17" t="s">
        <v>13</v>
      </c>
      <c r="J440" s="17">
        <v>3546</v>
      </c>
      <c r="K440" s="35" t="s">
        <v>55</v>
      </c>
      <c r="L440" s="32" t="str">
        <f t="shared" si="68"/>
        <v>172.29.12.71</v>
      </c>
      <c r="M440" s="35">
        <f>J440+50000</f>
        <v>53546</v>
      </c>
      <c r="N440" s="32" t="str">
        <f t="shared" si="69"/>
        <v>172.29.12.72</v>
      </c>
      <c r="O440" s="35">
        <f>+M440-30000</f>
        <v>23546</v>
      </c>
      <c r="P440" s="35" t="s">
        <v>94</v>
      </c>
      <c r="Q440" s="36" t="s">
        <v>95</v>
      </c>
      <c r="R440" s="3" t="str">
        <f t="shared" si="72"/>
        <v>"5":{"type":"con","dst_persist":"n","src":{"53546":{"raddr":"172.29.12.71:0","mhdr":"BHb2","name":"NODO-01"},"23546":{"raddr":"172.29.12.72:0","mhdr":"BHb2","name":"NODO-02"}},"dst":{"mode":"client","raddr":"172.19.207.40:3546","mhdr":"BHb2","name":"iPay Out 2"},"plugin": {"file":"slb_plugin_rm_biciso.so","type":"RM"}},</v>
      </c>
    </row>
    <row r="441" spans="1:18" ht="15" thickBot="1">
      <c r="A441" s="40"/>
      <c r="B441" s="16" t="s">
        <v>1417</v>
      </c>
      <c r="C441" s="14" t="s">
        <v>496</v>
      </c>
      <c r="D441" s="17">
        <v>6</v>
      </c>
      <c r="E441" s="17"/>
      <c r="F441" s="17" t="s">
        <v>14</v>
      </c>
      <c r="G441" s="17"/>
      <c r="H441" s="17" t="s">
        <v>55</v>
      </c>
      <c r="I441" s="17" t="s">
        <v>13</v>
      </c>
      <c r="J441" s="17">
        <v>3547</v>
      </c>
      <c r="K441" s="35" t="s">
        <v>55</v>
      </c>
      <c r="L441" s="32" t="str">
        <f t="shared" si="68"/>
        <v>172.29.12.71</v>
      </c>
      <c r="M441" s="35">
        <f>J441+50000</f>
        <v>53547</v>
      </c>
      <c r="N441" s="32" t="str">
        <f t="shared" si="69"/>
        <v>172.29.12.72</v>
      </c>
      <c r="O441" s="35">
        <f>+M441-30000</f>
        <v>23547</v>
      </c>
      <c r="P441" s="35" t="s">
        <v>94</v>
      </c>
      <c r="Q441" s="36" t="s">
        <v>96</v>
      </c>
      <c r="R441" s="3" t="str">
        <f t="shared" si="72"/>
        <v>"6":{"type":"con","dst_persist":"n","src":{"53547":{"raddr":"172.29.12.71:0","mhdr":"BHb2","name":"NODO-01"},"23547":{"raddr":"172.29.12.72:0","mhdr":"BHb2","name":"NODO-02"}},"dst":{"mode":"client","raddr":"172.19.207.40:3547","mhdr":"BHb2","name":"iPay Out 3"},"plugin": {"file":"slb_plugin_rm_biciso.so","type":"RM"}}}},</v>
      </c>
    </row>
    <row r="442" spans="1:18" ht="15" thickBot="1">
      <c r="A442" s="47">
        <v>18</v>
      </c>
      <c r="B442" s="23" t="s">
        <v>193</v>
      </c>
      <c r="C442" s="23" t="s">
        <v>496</v>
      </c>
      <c r="D442" s="29">
        <v>1</v>
      </c>
      <c r="E442" s="29" t="s">
        <v>329</v>
      </c>
      <c r="F442" s="29" t="s">
        <v>8</v>
      </c>
      <c r="G442" s="29" t="s">
        <v>1387</v>
      </c>
      <c r="H442" s="29" t="s">
        <v>55</v>
      </c>
      <c r="I442" s="29"/>
      <c r="J442" s="29">
        <v>8615</v>
      </c>
      <c r="K442" s="32" t="s">
        <v>55</v>
      </c>
      <c r="L442" s="32" t="str">
        <f t="shared" si="68"/>
        <v>172.29.12.71</v>
      </c>
      <c r="M442" s="32">
        <v>38084</v>
      </c>
      <c r="N442" s="32" t="str">
        <f t="shared" si="69"/>
        <v>172.29.12.72</v>
      </c>
      <c r="O442" s="32">
        <f t="shared" si="74"/>
        <v>48084</v>
      </c>
      <c r="P442" s="32" t="s">
        <v>94</v>
      </c>
      <c r="Q442" s="49" t="s">
        <v>95</v>
      </c>
      <c r="R442" s="3" t="str">
        <f t="shared" si="72"/>
        <v>"18":{"rules":{"1":{"type":"con","dst_persist":"n","src":{"38084":{"raddr":"172.29.12.71:0","mhdr":"BHb2","name":"NODO-01"},"48084":{"raddr":"172.29.12.72:0","mhdr":"BHb2","name":"NODO-02"}},"dst":{"mode":"server","raddr":"172.27.1.144x:0","lport":"8615 BHb2","name":"Cencosud In 1"},"plugin": {"file":"slb_plugin_rm_biciso.so","type":"RM"}},</v>
      </c>
    </row>
    <row r="443" spans="1:18" ht="15" thickBot="1">
      <c r="A443" s="30"/>
      <c r="B443" s="7" t="s">
        <v>194</v>
      </c>
      <c r="C443" s="7" t="s">
        <v>496</v>
      </c>
      <c r="D443" s="8">
        <v>2</v>
      </c>
      <c r="E443" s="8" t="s">
        <v>330</v>
      </c>
      <c r="F443" s="8" t="s">
        <v>8</v>
      </c>
      <c r="G443" s="8" t="s">
        <v>1387</v>
      </c>
      <c r="H443" s="8" t="s">
        <v>55</v>
      </c>
      <c r="I443" s="8"/>
      <c r="J443" s="8">
        <v>8715</v>
      </c>
      <c r="K443" s="33" t="s">
        <v>55</v>
      </c>
      <c r="L443" s="32" t="str">
        <f t="shared" si="68"/>
        <v>172.29.12.71</v>
      </c>
      <c r="M443" s="33">
        <v>38085</v>
      </c>
      <c r="N443" s="32" t="str">
        <f t="shared" si="69"/>
        <v>172.29.12.72</v>
      </c>
      <c r="O443" s="33">
        <f t="shared" si="74"/>
        <v>48085</v>
      </c>
      <c r="P443" s="33" t="s">
        <v>94</v>
      </c>
      <c r="Q443" s="34" t="s">
        <v>95</v>
      </c>
      <c r="R443" s="3" t="str">
        <f t="shared" si="72"/>
        <v>"2":{"type":"con","dst_persist":"n","src":{"38085":{"raddr":"172.29.12.71:0","mhdr":"BHb2","name":"NODO-01"},"48085":{"raddr":"172.29.12.72:0","mhdr":"BHb2","name":"NODO-02"}},"dst":{"mode":"server","raddr":"172.27.1.144x:0","lport":"8715 BHb2","name":"Cencosud In 2"},"plugin": {"file":"slb_plugin_rm_biciso.so","type":"RM"}},</v>
      </c>
    </row>
    <row r="444" spans="1:18" ht="15" thickBot="1">
      <c r="A444" s="30"/>
      <c r="B444" s="7" t="s">
        <v>195</v>
      </c>
      <c r="C444" s="7" t="s">
        <v>496</v>
      </c>
      <c r="D444" s="8">
        <v>3</v>
      </c>
      <c r="E444" s="8" t="s">
        <v>331</v>
      </c>
      <c r="F444" s="8" t="s">
        <v>14</v>
      </c>
      <c r="G444" s="8"/>
      <c r="H444" s="8" t="s">
        <v>55</v>
      </c>
      <c r="I444" s="8" t="s">
        <v>516</v>
      </c>
      <c r="J444" s="8">
        <v>8615</v>
      </c>
      <c r="K444" s="33" t="s">
        <v>55</v>
      </c>
      <c r="L444" s="32" t="str">
        <f t="shared" si="68"/>
        <v>172.29.12.71</v>
      </c>
      <c r="M444" s="33">
        <v>38184</v>
      </c>
      <c r="N444" s="32" t="str">
        <f t="shared" si="69"/>
        <v>172.29.12.72</v>
      </c>
      <c r="O444" s="33">
        <f t="shared" si="74"/>
        <v>48184</v>
      </c>
      <c r="P444" s="33" t="s">
        <v>94</v>
      </c>
      <c r="Q444" s="34" t="s">
        <v>95</v>
      </c>
      <c r="R444" s="3" t="str">
        <f t="shared" si="72"/>
        <v>"3":{"type":"con","dst_persist":"n","src":{"38184":{"raddr":"172.29.12.71:0","mhdr":"BHb2","name":"NODO-01"},"48184":{"raddr":"172.29.12.72:0","mhdr":"BHb2","name":"NODO-02"}},"dst":{"mode":"client","raddr":"172.19.207.40x:8615","mhdr":"BHb2","name":"Cencosud Out 1"},"plugin": {"file":"slb_plugin_rm_biciso.so","type":"RM"}},</v>
      </c>
    </row>
    <row r="445" spans="1:18" ht="15" thickBot="1">
      <c r="A445" s="40"/>
      <c r="B445" s="16" t="s">
        <v>196</v>
      </c>
      <c r="C445" s="16" t="s">
        <v>496</v>
      </c>
      <c r="D445" s="17">
        <v>4</v>
      </c>
      <c r="E445" s="17" t="s">
        <v>332</v>
      </c>
      <c r="F445" s="17" t="s">
        <v>14</v>
      </c>
      <c r="G445" s="14"/>
      <c r="H445" s="17" t="s">
        <v>55</v>
      </c>
      <c r="I445" s="17" t="s">
        <v>516</v>
      </c>
      <c r="J445" s="17">
        <v>8715</v>
      </c>
      <c r="K445" s="35" t="s">
        <v>55</v>
      </c>
      <c r="L445" s="32" t="str">
        <f t="shared" si="68"/>
        <v>172.29.12.71</v>
      </c>
      <c r="M445" s="35">
        <v>38185</v>
      </c>
      <c r="N445" s="32" t="str">
        <f t="shared" si="69"/>
        <v>172.29.12.72</v>
      </c>
      <c r="O445" s="35">
        <f t="shared" si="74"/>
        <v>48185</v>
      </c>
      <c r="P445" s="35" t="s">
        <v>94</v>
      </c>
      <c r="Q445" s="36" t="s">
        <v>96</v>
      </c>
      <c r="R445" s="3" t="str">
        <f t="shared" si="72"/>
        <v>"4":{"type":"con","dst_persist":"n","src":{"38185":{"raddr":"172.29.12.71:0","mhdr":"BHb2","name":"NODO-01"},"48185":{"raddr":"172.29.12.72:0","mhdr":"BHb2","name":"NODO-02"}},"dst":{"mode":"client","raddr":"172.19.207.40x:8715","mhdr":"BHb2","name":"Cencosud Out 2"},"plugin": {"file":"slb_plugin_rm_biciso.so","type":"RM"}}}},</v>
      </c>
    </row>
    <row r="446" spans="1:18" ht="15" thickBot="1">
      <c r="A446" s="47">
        <v>19</v>
      </c>
      <c r="B446" s="23" t="s">
        <v>114</v>
      </c>
      <c r="C446" s="23" t="s">
        <v>496</v>
      </c>
      <c r="D446" s="29">
        <v>1</v>
      </c>
      <c r="E446" s="29" t="s">
        <v>333</v>
      </c>
      <c r="F446" s="29" t="s">
        <v>14</v>
      </c>
      <c r="G446" s="29"/>
      <c r="H446" s="29" t="s">
        <v>437</v>
      </c>
      <c r="I446" s="29" t="s">
        <v>516</v>
      </c>
      <c r="J446" s="29">
        <v>2214</v>
      </c>
      <c r="K446" s="32" t="s">
        <v>437</v>
      </c>
      <c r="L446" s="32" t="str">
        <f t="shared" si="68"/>
        <v>172.29.12.71</v>
      </c>
      <c r="M446" s="32">
        <v>52214</v>
      </c>
      <c r="N446" s="32" t="str">
        <f t="shared" si="69"/>
        <v>172.29.12.72</v>
      </c>
      <c r="O446" s="32">
        <f>+M446-30000</f>
        <v>22214</v>
      </c>
      <c r="P446" s="32" t="s">
        <v>94</v>
      </c>
      <c r="Q446" s="49" t="s">
        <v>95</v>
      </c>
      <c r="R446" s="3" t="str">
        <f t="shared" si="72"/>
        <v>"19":{"rules":{"1":{"type":"con","dst_persist":"n","src":{"52214":{"raddr":"172.29.12.71:0","mhdr":"iBHb2","name":"NODO-01"},"22214":{"raddr":"172.29.12.72:0","mhdr":"iBHb2","name":"NODO-02"}},"dst":{"mode":"client","raddr":"172.19.207.40x:2214","mhdr":"iBHb2","name":"Itau Out 1"},"plugin": {"file":"slb_plugin_rm_biciso.so","type":"RM"}},</v>
      </c>
    </row>
    <row r="447" spans="1:18" ht="15" thickBot="1">
      <c r="A447" s="30"/>
      <c r="B447" s="7" t="s">
        <v>112</v>
      </c>
      <c r="C447" s="7" t="s">
        <v>496</v>
      </c>
      <c r="D447" s="8">
        <v>2</v>
      </c>
      <c r="E447" s="43" t="s">
        <v>334</v>
      </c>
      <c r="F447" s="8" t="s">
        <v>8</v>
      </c>
      <c r="G447" s="8" t="s">
        <v>1388</v>
      </c>
      <c r="H447" s="8" t="s">
        <v>437</v>
      </c>
      <c r="I447" s="8"/>
      <c r="J447" s="8">
        <v>2214</v>
      </c>
      <c r="K447" s="33" t="s">
        <v>437</v>
      </c>
      <c r="L447" s="32" t="str">
        <f t="shared" si="68"/>
        <v>172.29.12.71</v>
      </c>
      <c r="M447" s="33">
        <v>32214</v>
      </c>
      <c r="N447" s="33" t="s">
        <v>94</v>
      </c>
      <c r="O447" s="33" t="s">
        <v>95</v>
      </c>
      <c r="P447" s="2"/>
      <c r="Q447" s="56"/>
      <c r="R447" s="3" t="str">
        <f>CONCATENATE(IF(A447&lt;&gt;"",CONCATENATE("""",A447,"""",":{","""","rules","""",":{"),""),"""",D447,""":{""type"":""con"",""dst_persist"":""n"",""src"":{""",M447,""":{""raddr"":""",L447,":0"",""mhdr"":""",K447,""",","""name""",":","""NODO-01","""}},","""dst"":{""mode"":""",F447,""",""raddr"":""",IF(F447="server",G447,I447),":",IF(F447="server",0,J447),""",""",IF(F447="server","lport","mhdr"),""":""",IF(F447="server",J447,""),IF(F447="server"," ",""),K447,""",","""name""",":","""",B447,IF(N447&lt;&gt;"",CONCATENATE("""},","""plugin""",": {","""file""",":""",N447,""",","""type""",":","""","RM",""""),""""),O447)</f>
        <v>"2":{"type":"con","dst_persist":"n","src":{"32214":{"raddr":"172.29.12.71:0","mhdr":"iBHb2","name":"NODO-01"}},"dst":{"mode":"server","raddr":"10.2.14.21x:0","lport":"2214 iBHb2","name":"Itau In 1"},"plugin": {"file":"slb_plugin_rm_biciso.so","type":"RM"}},</v>
      </c>
    </row>
    <row r="448" spans="1:18" ht="15" thickBot="1">
      <c r="A448" s="30"/>
      <c r="B448" s="7" t="s">
        <v>115</v>
      </c>
      <c r="C448" s="7" t="s">
        <v>496</v>
      </c>
      <c r="D448" s="8">
        <v>3</v>
      </c>
      <c r="E448" s="8" t="s">
        <v>335</v>
      </c>
      <c r="F448" s="8" t="s">
        <v>14</v>
      </c>
      <c r="G448" s="8"/>
      <c r="H448" s="8" t="s">
        <v>437</v>
      </c>
      <c r="I448" s="8" t="s">
        <v>516</v>
      </c>
      <c r="J448" s="8">
        <v>3214</v>
      </c>
      <c r="K448" s="33" t="s">
        <v>437</v>
      </c>
      <c r="L448" s="32" t="str">
        <f t="shared" si="68"/>
        <v>172.29.12.71</v>
      </c>
      <c r="M448" s="33">
        <v>53214</v>
      </c>
      <c r="N448" s="32" t="str">
        <f>+$B$360</f>
        <v>172.29.12.72</v>
      </c>
      <c r="O448" s="33">
        <f>+M448-30000</f>
        <v>23214</v>
      </c>
      <c r="P448" s="33" t="s">
        <v>94</v>
      </c>
      <c r="Q448" s="34" t="s">
        <v>95</v>
      </c>
      <c r="R448" s="3" t="str">
        <f t="shared" si="72"/>
        <v>"3":{"type":"con","dst_persist":"n","src":{"53214":{"raddr":"172.29.12.71:0","mhdr":"iBHb2","name":"NODO-01"},"23214":{"raddr":"172.29.12.72:0","mhdr":"iBHb2","name":"NODO-02"}},"dst":{"mode":"client","raddr":"172.19.207.40x:3214","mhdr":"iBHb2","name":"Itau Out 2"},"plugin": {"file":"slb_plugin_rm_biciso.so","type":"RM"}},</v>
      </c>
    </row>
    <row r="449" spans="1:18" ht="15" thickBot="1">
      <c r="A449" s="40"/>
      <c r="B449" s="16" t="s">
        <v>113</v>
      </c>
      <c r="C449" s="16" t="s">
        <v>496</v>
      </c>
      <c r="D449" s="17">
        <v>4</v>
      </c>
      <c r="E449" s="44" t="s">
        <v>336</v>
      </c>
      <c r="F449" s="17" t="s">
        <v>8</v>
      </c>
      <c r="G449" s="17" t="s">
        <v>1388</v>
      </c>
      <c r="H449" s="17" t="s">
        <v>437</v>
      </c>
      <c r="I449" s="17"/>
      <c r="J449" s="17">
        <v>3214</v>
      </c>
      <c r="K449" s="35" t="s">
        <v>437</v>
      </c>
      <c r="L449" s="32" t="str">
        <f t="shared" si="68"/>
        <v>172.29.12.71</v>
      </c>
      <c r="M449" s="35">
        <v>33214</v>
      </c>
      <c r="N449" s="35" t="s">
        <v>94</v>
      </c>
      <c r="O449" s="35" t="s">
        <v>96</v>
      </c>
      <c r="P449" s="14"/>
      <c r="Q449" s="57"/>
      <c r="R449" s="3" t="str">
        <f>CONCATENATE(IF(A449&lt;&gt;"",CONCATENATE("""",A449,"""",":{","""","rules","""",":{"),""),"""",D449,""":{""type"":""con"",""dst_persist"":""n"",""src"":{""",M449,""":{""raddr"":""",L449,":0"",""mhdr"":""",K449,""",","""name""",":","""NODO-01","""}},","""dst"":{""mode"":""",F449,""",""raddr"":""",IF(F449="server",G449,I449),":",IF(F449="server",0,J449),""",""",IF(F449="server","lport","mhdr"),""":""",IF(F449="server",J449,""),IF(F449="server"," ",""),K449,""",","""name""",":","""",B449,IF(N449&lt;&gt;"",CONCATENATE("""},","""plugin""",": {","""file""",":""",N449,""",","""type""",":","""","RM",""""),""""),O449)</f>
        <v>"4":{"type":"con","dst_persist":"n","src":{"33214":{"raddr":"172.29.12.71:0","mhdr":"iBHb2","name":"NODO-01"}},"dst":{"mode":"server","raddr":"10.2.14.21x:0","lport":"3214 iBHb2","name":"Itau In 2"},"plugin": {"file":"slb_plugin_rm_biciso.so","type":"RM"}}}},</v>
      </c>
    </row>
    <row r="450" spans="1:18" ht="15" thickBot="1">
      <c r="A450" s="41">
        <v>20</v>
      </c>
      <c r="B450" s="18" t="s">
        <v>479</v>
      </c>
      <c r="C450" s="18" t="s">
        <v>496</v>
      </c>
      <c r="D450" s="19">
        <v>1</v>
      </c>
      <c r="E450" s="19" t="s">
        <v>317</v>
      </c>
      <c r="F450" s="19" t="s">
        <v>14</v>
      </c>
      <c r="G450" s="19"/>
      <c r="H450" s="17" t="s">
        <v>437</v>
      </c>
      <c r="I450" s="19" t="s">
        <v>13</v>
      </c>
      <c r="J450" s="19">
        <v>3074</v>
      </c>
      <c r="K450" s="35" t="s">
        <v>437</v>
      </c>
      <c r="L450" s="32" t="str">
        <f t="shared" ref="L450:L459" si="75">+$B$359</f>
        <v>172.29.12.71</v>
      </c>
      <c r="M450" s="37">
        <v>53074</v>
      </c>
      <c r="N450" s="32" t="str">
        <f t="shared" ref="N450:N459" si="76">+$B$360</f>
        <v>172.29.12.72</v>
      </c>
      <c r="O450" s="32">
        <f>+M450-30000</f>
        <v>23074</v>
      </c>
      <c r="P450" s="37" t="s">
        <v>94</v>
      </c>
      <c r="Q450" s="38" t="s">
        <v>95</v>
      </c>
      <c r="R450" s="3" t="str">
        <f t="shared" si="72"/>
        <v>"20":{"rules":{"1":{"type":"con","dst_persist":"n","src":{"53074":{"raddr":"172.29.12.71:0","mhdr":"iBHb2","name":"NODO-01"},"23074":{"raddr":"172.29.12.72:0","mhdr":"iBHb2","name":"NODO-02"}},"dst":{"mode":"client","raddr":"172.19.207.40:3074","mhdr":"iBHb2","name":"ATM ATH out 1"},"plugin": {"file":"slb_plugin_rm_biciso.so","type":"RM"}},</v>
      </c>
    </row>
    <row r="451" spans="1:18" ht="15" thickBot="1">
      <c r="A451" s="30"/>
      <c r="B451" s="7" t="s">
        <v>480</v>
      </c>
      <c r="C451" s="7" t="s">
        <v>496</v>
      </c>
      <c r="D451" s="8">
        <v>2</v>
      </c>
      <c r="E451" s="8" t="s">
        <v>318</v>
      </c>
      <c r="F451" s="8" t="s">
        <v>8</v>
      </c>
      <c r="G451" s="8" t="s">
        <v>76</v>
      </c>
      <c r="H451" s="17" t="s">
        <v>437</v>
      </c>
      <c r="I451" s="2"/>
      <c r="J451" s="8">
        <v>3074</v>
      </c>
      <c r="K451" s="35" t="s">
        <v>437</v>
      </c>
      <c r="L451" s="32" t="str">
        <f t="shared" si="75"/>
        <v>172.29.12.71</v>
      </c>
      <c r="M451" s="33">
        <v>33074</v>
      </c>
      <c r="N451" s="32" t="str">
        <f t="shared" si="76"/>
        <v>172.29.12.72</v>
      </c>
      <c r="O451" s="32">
        <f t="shared" ref="O451" si="77">+M451+10000</f>
        <v>43074</v>
      </c>
      <c r="P451" s="33" t="s">
        <v>94</v>
      </c>
      <c r="Q451" s="34" t="s">
        <v>95</v>
      </c>
      <c r="R451" s="3" t="str">
        <f t="shared" si="72"/>
        <v>"2":{"type":"con","dst_persist":"n","src":{"33074":{"raddr":"172.29.12.71:0","mhdr":"iBHb2","name":"NODO-01"},"43074":{"raddr":"172.29.12.72:0","mhdr":"iBHb2","name":"NODO-02"}},"dst":{"mode":"server","raddr":"10.2.74.21:0","lport":"3074 iBHb2","name":"ATM ATH in 1"},"plugin": {"file":"slb_plugin_rm_biciso.so","type":"RM"}},</v>
      </c>
    </row>
    <row r="452" spans="1:18" ht="15" thickBot="1">
      <c r="A452" s="30"/>
      <c r="B452" s="18" t="s">
        <v>481</v>
      </c>
      <c r="C452" s="18" t="s">
        <v>496</v>
      </c>
      <c r="D452" s="19">
        <v>3</v>
      </c>
      <c r="E452" s="8" t="s">
        <v>319</v>
      </c>
      <c r="F452" s="8" t="s">
        <v>14</v>
      </c>
      <c r="G452" s="8"/>
      <c r="H452" s="17" t="s">
        <v>437</v>
      </c>
      <c r="I452" s="8" t="s">
        <v>13</v>
      </c>
      <c r="J452" s="8">
        <v>2074</v>
      </c>
      <c r="K452" s="35" t="s">
        <v>437</v>
      </c>
      <c r="L452" s="32" t="str">
        <f t="shared" si="75"/>
        <v>172.29.12.71</v>
      </c>
      <c r="M452" s="33">
        <v>52074</v>
      </c>
      <c r="N452" s="32" t="str">
        <f t="shared" si="76"/>
        <v>172.29.12.72</v>
      </c>
      <c r="O452" s="32">
        <f>+M452-30000</f>
        <v>22074</v>
      </c>
      <c r="P452" s="33" t="s">
        <v>94</v>
      </c>
      <c r="Q452" s="34" t="s">
        <v>95</v>
      </c>
      <c r="R452" s="3" t="str">
        <f t="shared" si="72"/>
        <v>"3":{"type":"con","dst_persist":"n","src":{"52074":{"raddr":"172.29.12.71:0","mhdr":"iBHb2","name":"NODO-01"},"22074":{"raddr":"172.29.12.72:0","mhdr":"iBHb2","name":"NODO-02"}},"dst":{"mode":"client","raddr":"172.19.207.40:2074","mhdr":"iBHb2","name":"ATM ATH out 2"},"plugin": {"file":"slb_plugin_rm_biciso.so","type":"RM"}},</v>
      </c>
    </row>
    <row r="453" spans="1:18" ht="15" thickBot="1">
      <c r="A453" s="40"/>
      <c r="B453" s="7" t="s">
        <v>482</v>
      </c>
      <c r="C453" s="7" t="s">
        <v>496</v>
      </c>
      <c r="D453" s="8">
        <v>4</v>
      </c>
      <c r="E453" s="17" t="s">
        <v>320</v>
      </c>
      <c r="F453" s="17" t="s">
        <v>8</v>
      </c>
      <c r="G453" s="17" t="s">
        <v>76</v>
      </c>
      <c r="H453" s="17" t="s">
        <v>437</v>
      </c>
      <c r="I453" s="14"/>
      <c r="J453" s="17">
        <v>2074</v>
      </c>
      <c r="K453" s="35" t="s">
        <v>437</v>
      </c>
      <c r="L453" s="32" t="str">
        <f t="shared" si="75"/>
        <v>172.29.12.71</v>
      </c>
      <c r="M453" s="35">
        <v>32074</v>
      </c>
      <c r="N453" s="32" t="str">
        <f t="shared" si="76"/>
        <v>172.29.12.72</v>
      </c>
      <c r="O453" s="32">
        <f t="shared" ref="O453:O456" si="78">+M453+10000</f>
        <v>42074</v>
      </c>
      <c r="P453" s="35" t="s">
        <v>94</v>
      </c>
      <c r="Q453" s="36" t="s">
        <v>96</v>
      </c>
      <c r="R453" s="3" t="str">
        <f t="shared" si="72"/>
        <v>"4":{"type":"con","dst_persist":"n","src":{"32074":{"raddr":"172.29.12.71:0","mhdr":"iBHb2","name":"NODO-01"},"42074":{"raddr":"172.29.12.72:0","mhdr":"iBHb2","name":"NODO-02"}},"dst":{"mode":"server","raddr":"10.2.74.21:0","lport":"2074 iBHb2","name":" ATM ATH in 2"},"plugin": {"file":"slb_plugin_rm_biciso.so","type":"RM"}}}},</v>
      </c>
    </row>
    <row r="454" spans="1:18" ht="15" thickBot="1">
      <c r="A454" s="41">
        <v>21</v>
      </c>
      <c r="B454" s="18" t="s">
        <v>483</v>
      </c>
      <c r="C454" s="18" t="s">
        <v>497</v>
      </c>
      <c r="D454" s="19">
        <v>1</v>
      </c>
      <c r="E454" s="19" t="s">
        <v>285</v>
      </c>
      <c r="F454" s="19" t="s">
        <v>8</v>
      </c>
      <c r="G454" s="19" t="s">
        <v>90</v>
      </c>
      <c r="H454" s="17" t="s">
        <v>437</v>
      </c>
      <c r="J454" s="19">
        <v>3234</v>
      </c>
      <c r="K454" s="35" t="s">
        <v>437</v>
      </c>
      <c r="L454" s="32" t="str">
        <f t="shared" si="75"/>
        <v>172.29.12.71</v>
      </c>
      <c r="M454" s="37">
        <v>33234</v>
      </c>
      <c r="N454" s="32" t="str">
        <f t="shared" si="76"/>
        <v>172.29.12.72</v>
      </c>
      <c r="O454" s="32">
        <f t="shared" si="78"/>
        <v>43234</v>
      </c>
      <c r="P454" s="37" t="s">
        <v>94</v>
      </c>
      <c r="Q454" s="38" t="s">
        <v>95</v>
      </c>
      <c r="R454" s="3" t="str">
        <f t="shared" si="72"/>
        <v>"21":{"rules":{"1":{"type":"con","dst_persist":"n","src":{"33234":{"raddr":"172.29.12.71:0","mhdr":"iBHb2","name":"NODO-01"},"43234":{"raddr":"172.29.12.72:0","mhdr":"iBHb2","name":"NODO-02"}},"dst":{"mode":"server","raddr":"10.2.34.17:0","lport":"3234 iBHb2","name":"ATM Davivi in 1"},"plugin": {"file":"slb_plugin_rm_biciso.so","type":"RM"}},</v>
      </c>
    </row>
    <row r="455" spans="1:18" ht="15" thickBot="1">
      <c r="A455" s="30"/>
      <c r="B455" s="7" t="s">
        <v>484</v>
      </c>
      <c r="C455" s="7" t="s">
        <v>497</v>
      </c>
      <c r="D455" s="8">
        <v>2</v>
      </c>
      <c r="E455" s="8" t="s">
        <v>286</v>
      </c>
      <c r="F455" s="8" t="s">
        <v>14</v>
      </c>
      <c r="G455" s="8"/>
      <c r="H455" s="17" t="s">
        <v>437</v>
      </c>
      <c r="I455" s="8" t="s">
        <v>13</v>
      </c>
      <c r="J455" s="19">
        <v>3234</v>
      </c>
      <c r="K455" s="35" t="s">
        <v>437</v>
      </c>
      <c r="L455" s="32" t="str">
        <f t="shared" si="75"/>
        <v>172.29.12.71</v>
      </c>
      <c r="M455" s="33">
        <v>53234</v>
      </c>
      <c r="N455" s="32" t="str">
        <f t="shared" si="76"/>
        <v>172.29.12.72</v>
      </c>
      <c r="O455" s="32">
        <f>+M455-30000</f>
        <v>23234</v>
      </c>
      <c r="P455" s="37" t="s">
        <v>94</v>
      </c>
      <c r="Q455" s="34" t="s">
        <v>95</v>
      </c>
      <c r="R455" s="3" t="str">
        <f t="shared" si="72"/>
        <v>"2":{"type":"con","dst_persist":"n","src":{"53234":{"raddr":"172.29.12.71:0","mhdr":"iBHb2","name":"NODO-01"},"23234":{"raddr":"172.29.12.72:0","mhdr":"iBHb2","name":"NODO-02"}},"dst":{"mode":"client","raddr":"172.19.207.40:3234","mhdr":"iBHb2","name":"ATM Davivi out 1"},"plugin": {"file":"slb_plugin_rm_biciso.so","type":"RM"}},</v>
      </c>
    </row>
    <row r="456" spans="1:18" ht="15" thickBot="1">
      <c r="A456" s="30"/>
      <c r="B456" s="18" t="s">
        <v>485</v>
      </c>
      <c r="C456" s="18" t="s">
        <v>497</v>
      </c>
      <c r="D456" s="19">
        <v>3</v>
      </c>
      <c r="E456" s="8" t="s">
        <v>287</v>
      </c>
      <c r="F456" s="8" t="s">
        <v>8</v>
      </c>
      <c r="G456" s="8" t="s">
        <v>90</v>
      </c>
      <c r="H456" s="17" t="s">
        <v>437</v>
      </c>
      <c r="J456" s="8">
        <v>3151</v>
      </c>
      <c r="K456" s="35" t="s">
        <v>437</v>
      </c>
      <c r="L456" s="32" t="str">
        <f t="shared" si="75"/>
        <v>172.29.12.71</v>
      </c>
      <c r="M456" s="33">
        <v>33151</v>
      </c>
      <c r="N456" s="32" t="str">
        <f t="shared" si="76"/>
        <v>172.29.12.72</v>
      </c>
      <c r="O456" s="32">
        <f t="shared" si="78"/>
        <v>43151</v>
      </c>
      <c r="P456" s="37" t="s">
        <v>94</v>
      </c>
      <c r="Q456" s="34" t="s">
        <v>95</v>
      </c>
      <c r="R456" s="3" t="str">
        <f t="shared" si="72"/>
        <v>"3":{"type":"con","dst_persist":"n","src":{"33151":{"raddr":"172.29.12.71:0","mhdr":"iBHb2","name":"NODO-01"},"43151":{"raddr":"172.29.12.72:0","mhdr":"iBHb2","name":"NODO-02"}},"dst":{"mode":"server","raddr":"10.2.34.17:0","lport":"3151 iBHb2","name":"ATM Davivi in 2"},"plugin": {"file":"slb_plugin_rm_biciso.so","type":"RM"}},</v>
      </c>
    </row>
    <row r="457" spans="1:18" ht="15" thickBot="1">
      <c r="A457" s="40"/>
      <c r="B457" s="7" t="s">
        <v>486</v>
      </c>
      <c r="C457" s="7" t="s">
        <v>497</v>
      </c>
      <c r="D457" s="8">
        <v>4</v>
      </c>
      <c r="E457" s="17" t="s">
        <v>288</v>
      </c>
      <c r="F457" s="17" t="s">
        <v>14</v>
      </c>
      <c r="G457" s="17"/>
      <c r="H457" s="17" t="s">
        <v>437</v>
      </c>
      <c r="I457" s="8" t="s">
        <v>13</v>
      </c>
      <c r="J457" s="8">
        <v>3151</v>
      </c>
      <c r="K457" s="35" t="s">
        <v>437</v>
      </c>
      <c r="L457" s="32" t="str">
        <f t="shared" si="75"/>
        <v>172.29.12.71</v>
      </c>
      <c r="M457" s="35">
        <v>53151</v>
      </c>
      <c r="N457" s="32" t="str">
        <f t="shared" si="76"/>
        <v>172.29.12.72</v>
      </c>
      <c r="O457" s="32">
        <f>+M457-30000</f>
        <v>23151</v>
      </c>
      <c r="P457" s="37" t="s">
        <v>94</v>
      </c>
      <c r="Q457" s="36" t="s">
        <v>96</v>
      </c>
      <c r="R457" s="3" t="str">
        <f t="shared" si="72"/>
        <v>"4":{"type":"con","dst_persist":"n","src":{"53151":{"raddr":"172.29.12.71:0","mhdr":"iBHb2","name":"NODO-01"},"23151":{"raddr":"172.29.12.72:0","mhdr":"iBHb2","name":"NODO-02"}},"dst":{"mode":"client","raddr":"172.19.207.40:3151","mhdr":"iBHb2","name":"ATM Daviv out 2"},"plugin": {"file":"slb_plugin_rm_biciso.so","type":"RM"}}}},</v>
      </c>
    </row>
    <row r="458" spans="1:18" ht="15" thickBot="1">
      <c r="A458" s="41">
        <v>22</v>
      </c>
      <c r="B458" s="18" t="s">
        <v>487</v>
      </c>
      <c r="C458" s="18" t="s">
        <v>497</v>
      </c>
      <c r="D458" s="19">
        <v>1</v>
      </c>
      <c r="E458" s="19" t="s">
        <v>279</v>
      </c>
      <c r="F458" s="19" t="s">
        <v>14</v>
      </c>
      <c r="G458" s="19"/>
      <c r="H458" s="17" t="s">
        <v>437</v>
      </c>
      <c r="I458" s="8" t="s">
        <v>13</v>
      </c>
      <c r="J458" s="19">
        <v>4073</v>
      </c>
      <c r="K458" s="35" t="s">
        <v>437</v>
      </c>
      <c r="L458" s="32" t="str">
        <f t="shared" si="75"/>
        <v>172.29.12.71</v>
      </c>
      <c r="M458" s="37">
        <v>54073</v>
      </c>
      <c r="N458" s="32" t="str">
        <f t="shared" si="76"/>
        <v>172.29.12.72</v>
      </c>
      <c r="O458" s="32">
        <f>+M458-30000</f>
        <v>24073</v>
      </c>
      <c r="P458" s="37" t="s">
        <v>94</v>
      </c>
      <c r="Q458" s="38" t="s">
        <v>95</v>
      </c>
      <c r="R458" s="3" t="str">
        <f t="shared" si="72"/>
        <v>"22":{"rules":{"1":{"type":"con","dst_persist":"n","src":{"54073":{"raddr":"172.29.12.71:0","mhdr":"iBHb2","name":"NODO-01"},"24073":{"raddr":"172.29.12.72:0","mhdr":"iBHb2","name":"NODO-02"}},"dst":{"mode":"client","raddr":"172.19.207.40:4073","mhdr":"iBHb2","name":"ATM Servib out Nal"},"plugin": {"file":"slb_plugin_rm_biciso.so","type":"RM"}},</v>
      </c>
    </row>
    <row r="459" spans="1:18" ht="15" thickBot="1">
      <c r="A459" s="30"/>
      <c r="B459" s="7" t="s">
        <v>488</v>
      </c>
      <c r="C459" s="7" t="s">
        <v>497</v>
      </c>
      <c r="D459" s="8">
        <v>2</v>
      </c>
      <c r="E459" s="8" t="s">
        <v>280</v>
      </c>
      <c r="F459" s="8" t="s">
        <v>8</v>
      </c>
      <c r="G459" s="8" t="s">
        <v>147</v>
      </c>
      <c r="H459" s="17" t="s">
        <v>437</v>
      </c>
      <c r="I459" s="8"/>
      <c r="J459" s="19">
        <v>4073</v>
      </c>
      <c r="K459" s="35" t="s">
        <v>437</v>
      </c>
      <c r="L459" s="32" t="str">
        <f t="shared" si="75"/>
        <v>172.29.12.71</v>
      </c>
      <c r="M459" s="37">
        <v>34073</v>
      </c>
      <c r="N459" s="32" t="str">
        <f t="shared" si="76"/>
        <v>172.29.12.72</v>
      </c>
      <c r="O459" s="32">
        <f t="shared" ref="O459" si="79">+M459+10000</f>
        <v>44073</v>
      </c>
      <c r="P459" s="37" t="s">
        <v>94</v>
      </c>
      <c r="Q459" s="34" t="s">
        <v>96</v>
      </c>
      <c r="R459" s="3" t="str">
        <f t="shared" si="72"/>
        <v>"2":{"type":"con","dst_persist":"n","src":{"34073":{"raddr":"172.29.12.71:0","mhdr":"iBHb2","name":"NODO-01"},"44073":{"raddr":"172.29.12.72:0","mhdr":"iBHb2","name":"NODO-02"}},"dst":{"mode":"server","raddr":"192.168.131.6:0","lport":"4073 iBHb2","name":"ATM Servib in Nal"},"plugin": {"file":"slb_plugin_rm_biciso.so","type":"RM"}}}},</v>
      </c>
    </row>
    <row r="460" spans="1:18" ht="15" thickBot="1">
      <c r="A460" s="74">
        <v>23</v>
      </c>
      <c r="B460" s="75" t="s">
        <v>198</v>
      </c>
      <c r="C460" s="75" t="s">
        <v>497</v>
      </c>
      <c r="D460" s="73">
        <v>1</v>
      </c>
      <c r="E460" s="76" t="s">
        <v>337</v>
      </c>
      <c r="F460" s="73" t="s">
        <v>8</v>
      </c>
      <c r="G460" s="73"/>
      <c r="H460" s="73" t="s">
        <v>437</v>
      </c>
      <c r="I460" s="32" t="str">
        <f t="shared" ref="I460" si="80">+$B$359</f>
        <v>172.29.12.71</v>
      </c>
      <c r="J460" s="73">
        <v>55225</v>
      </c>
      <c r="K460" s="32" t="s">
        <v>437</v>
      </c>
      <c r="L460" s="73" t="s">
        <v>13</v>
      </c>
      <c r="M460" s="73">
        <v>5225</v>
      </c>
      <c r="N460" s="73" t="s">
        <v>13</v>
      </c>
      <c r="O460" s="73">
        <v>5227</v>
      </c>
      <c r="P460" s="32" t="s">
        <v>94</v>
      </c>
      <c r="Q460" s="49" t="s">
        <v>95</v>
      </c>
      <c r="R460" s="34" t="str">
        <f>CONCATENATE(IF(A460&lt;&gt;"",CONCATENATE("""",A460,"""",":{","""","rules","""",":{"),""),"""",D460,""":{""type"":""con"",""dst_persist"":""n"",""src"":{""",L460,":",M460,""":{""mhdr"":""",K460,""",","""name""",":","""PRM B24 5225 NODO-01","""},""",N460,":",O460,""":{""mhdr"":""",K460,""",","""name""",":","""PRM B24 5227 NODO-01","""}},","""dst"":{""mode"":""",F460,""",""raddr"":""",IF(F460="server",I460,G460),":",IF(F460="server",0,J460),""",""",IF(F460="server","lport","mhdr"),""":""",IF(F460="server",J460,""),IF(F460="server"," ",""),H460,""",","""name""",":","""",B460,IF(P460&lt;&gt;"",CONCATENATE("""},","""plugin""",": {","""file""",":""",P460,""",","""type""",":","""","RM",""""),""""),Q460)</f>
        <v>"23":{"rules":{"1":{"type":"con","dst_persist":"n","src":{"172.19.207.40:5225":{"mhdr":"iBHb2","name":"PRM B24 5225 NODO-01"},"172.19.207.40:5227":{"mhdr":"iBHb2","name":"PRM B24 5227 NODO-01"}},"dst":{"mode":"server","raddr":"172.29.12.71:0","lport":"55225 iBHb2","name":"PRM Proceso 1"},"plugin": {"file":"slb_plugin_rm_biciso.so","type":"RM"}},</v>
      </c>
    </row>
    <row r="461" spans="1:18" ht="15" thickBot="1">
      <c r="A461" s="77"/>
      <c r="B461" s="78" t="s">
        <v>199</v>
      </c>
      <c r="C461" s="78" t="s">
        <v>497</v>
      </c>
      <c r="D461" s="72">
        <v>2</v>
      </c>
      <c r="E461" s="79" t="s">
        <v>338</v>
      </c>
      <c r="F461" s="72" t="s">
        <v>8</v>
      </c>
      <c r="G461" s="72"/>
      <c r="H461" s="72" t="s">
        <v>437</v>
      </c>
      <c r="I461" s="32" t="str">
        <f t="shared" ref="I461" si="81">+$B$360</f>
        <v>172.29.12.72</v>
      </c>
      <c r="J461" s="72">
        <v>25228</v>
      </c>
      <c r="K461" s="35" t="s">
        <v>437</v>
      </c>
      <c r="L461" s="72" t="s">
        <v>13</v>
      </c>
      <c r="M461" s="72">
        <v>5228</v>
      </c>
      <c r="N461" s="72" t="s">
        <v>13</v>
      </c>
      <c r="O461" s="72">
        <v>5229</v>
      </c>
      <c r="P461" s="35" t="s">
        <v>94</v>
      </c>
      <c r="Q461" s="36" t="s">
        <v>96</v>
      </c>
      <c r="R461" s="34" t="str">
        <f>CONCATENATE(IF(A461&lt;&gt;"",CONCATENATE("""",A461,"""",":{","""","rules","""",":{"),""),"""",D461,""":{""type"":""con"",""dst_persist"":""n"",""src"":{""",L461,":",M461,""":{""mhdr"":""",K461,""",","""name""",":","""PRM B24 5228 NODO-02","""},""",N461,":",O461,""":{""mhdr"":""",K461,""",","""name""",":","""PRM B24 5229 NODO-02","""}},","""dst"":{""mode"":""",F461,""",""raddr"":""",IF(F461="server",I461,G461),":",IF(F461="server",0,J461),""",""",IF(F461="server","lport","mhdr"),""":""",IF(F461="server",J461,""),IF(F461="server"," ",""),H461,""",","""name""",":","""",B461,IF(P461&lt;&gt;"",CONCATENATE("""},","""plugin""",": {","""file""",":""",P461,""",","""type""",":","""","RM",""""),""""),Q461)</f>
        <v>"2":{"type":"con","dst_persist":"n","src":{"172.19.207.40:5228":{"mhdr":"iBHb2","name":"PRM B24 5228 NODO-02"},"172.19.207.40:5229":{"mhdr":"iBHb2","name":"PRM B24 5229 NODO-02"}},"dst":{"mode":"server","raddr":"172.29.12.72:0","lport":"25228 iBHb2","name":"PRM Proceso 2"},"plugin": {"file":"slb_plugin_rm_biciso.so","type":"RM"}}}},</v>
      </c>
    </row>
    <row r="462" spans="1:18" ht="15" thickBot="1">
      <c r="A462" s="74">
        <v>25</v>
      </c>
      <c r="B462" s="75" t="s">
        <v>1279</v>
      </c>
      <c r="C462" s="75" t="s">
        <v>497</v>
      </c>
      <c r="D462" s="73">
        <v>1</v>
      </c>
      <c r="E462" s="73" t="s">
        <v>379</v>
      </c>
      <c r="F462" s="73" t="s">
        <v>14</v>
      </c>
      <c r="G462" s="73"/>
      <c r="H462" s="73" t="s">
        <v>55</v>
      </c>
      <c r="I462" s="32" t="str">
        <f>B358</f>
        <v>172.29.12.70</v>
      </c>
      <c r="J462" s="73">
        <v>55999</v>
      </c>
      <c r="K462" s="32" t="s">
        <v>55</v>
      </c>
      <c r="L462" s="73" t="str">
        <f>B359</f>
        <v>172.29.12.71</v>
      </c>
      <c r="M462" s="73">
        <v>35523</v>
      </c>
      <c r="N462" s="73" t="str">
        <f>B360</f>
        <v>172.29.12.72</v>
      </c>
      <c r="O462" s="73">
        <v>45523</v>
      </c>
      <c r="P462" s="32" t="s">
        <v>94</v>
      </c>
      <c r="Q462" s="49" t="s">
        <v>95</v>
      </c>
      <c r="R462" s="81" t="str">
        <f>CONCATENATE(IF(A462&lt;&gt;"",CONCATENATE("""",A462,"""",":{","""","rules","""",":{"),""),"""",D462,""":{""type"":""con"",""src"":{""",M462,""":{""raddr"":""",L462,":0"",""mhdr"":""",K462,""",","""name""",":","""NODO-01-35523","""},""",O462,""":{""raddr"":""",N462,":0"",""mhdr"":""",K462,""",","""name""",":","""NODO-02-45523","""},""",M463,""":{""raddr"":""",L463,":0"",""mhdr"":""",K463,""",","""name""",":","""NODO-01-36623","""},""",O463,""":{""raddr"":""",N463,":0"",""mhdr"":""",K463,""",","""name""",":","""NODO-02-46623","""}},","""dst"":{""mode"":""",F462,""",""raddr"":""",IF(F462="server",G462,I462),":",IF(F462="server",0,J462),""",""",IF(F462="server","lport","mhdr"),""":""",IF(F462="server",J462,""),IF(F462="server"," ",""),K462,""",","""name""",":","""",B462,IF(P462&lt;&gt;"",CONCATENATE("""},","""plugin""",": {","""file""",":""",P462,""",","""type""",":","""","RM""",",","""args""",": {","""nodrop""",":","""n""","}")),Q462)</f>
        <v>"25":{"rules":{"1":{"type":"con","src":{"35523":{"raddr":"172.29.12.71:0","mhdr":"BHb2","name":"NODO-01-35523"},"45523":{"raddr":"172.29.12.72:0","mhdr":"BHb2","name":"NODO-02-45523"},"36623":{"raddr":"172.29.12.71:0","mhdr":"BHb2","name":"NODO-01-36623"},"46623":{"raddr":"172.29.12.72:0","mhdr":"BHb2","name":"NODO-02-46623"}},"dst":{"mode":"client","raddr":"172.29.12.70:55999","mhdr":"BHb2","name":"Occident DB Slb1"},"plugin": {"file":"slb_plugin_rm_biciso.so","type":"RM","args": {"nodrop":"n"}}},</v>
      </c>
    </row>
    <row r="463" spans="1:18">
      <c r="A463" s="69"/>
      <c r="B463" s="70"/>
      <c r="C463" s="70"/>
      <c r="D463" s="71"/>
      <c r="E463" s="71"/>
      <c r="F463" s="71"/>
      <c r="G463" s="71"/>
      <c r="H463" s="71"/>
      <c r="I463" s="33"/>
      <c r="J463" s="71"/>
      <c r="K463" s="33" t="s">
        <v>55</v>
      </c>
      <c r="L463" s="71" t="str">
        <f>B359</f>
        <v>172.29.12.71</v>
      </c>
      <c r="M463" s="71">
        <v>36623</v>
      </c>
      <c r="N463" s="73" t="str">
        <f>B360</f>
        <v>172.29.12.72</v>
      </c>
      <c r="O463" s="71">
        <v>46623</v>
      </c>
      <c r="P463" s="33"/>
      <c r="Q463" s="34"/>
      <c r="R463" s="81"/>
    </row>
    <row r="464" spans="1:18" ht="15" thickBot="1">
      <c r="A464" s="77"/>
      <c r="B464" s="78" t="s">
        <v>1280</v>
      </c>
      <c r="C464" s="78" t="s">
        <v>497</v>
      </c>
      <c r="D464" s="72">
        <v>2</v>
      </c>
      <c r="E464" s="72" t="s">
        <v>380</v>
      </c>
      <c r="F464" s="72" t="s">
        <v>8</v>
      </c>
      <c r="G464" s="35" t="str">
        <f>B358</f>
        <v>172.29.12.70</v>
      </c>
      <c r="H464" s="72" t="s">
        <v>55</v>
      </c>
      <c r="I464" s="72"/>
      <c r="J464" s="72">
        <v>55999</v>
      </c>
      <c r="K464" s="35" t="s">
        <v>55</v>
      </c>
      <c r="L464" s="72" t="s">
        <v>76</v>
      </c>
      <c r="M464" s="72">
        <v>5523</v>
      </c>
      <c r="N464" s="72" t="s">
        <v>76</v>
      </c>
      <c r="O464" s="72">
        <v>6623</v>
      </c>
      <c r="P464" s="35"/>
      <c r="Q464" s="36" t="s">
        <v>96</v>
      </c>
      <c r="R464" s="81" t="str">
        <f>CONCATENATE(IF(A464&lt;&gt;"",CONCATENATE("""",A464,"""",":{","""","rules","""",":{"),""),"""",D464,""":{""type"":""con"",""src"":{""",M464,""":{""raddr"":""",L464,":0"",""mhdr"":""",K464,""",","""name""",":","""OCCIDENTE-5523","""},""",O464,""":{""raddr"":""",N464,":0"",""mhdr"":""",K464,""",","""name""",":","""OCCIDENTE-6623","""}},","""dst"":{""mode"":""",F464,""",""raddr"":""",IF(F464="server",G464,I464),":",IF(F464="server",0,J464),""",""",IF(F464="server","lport","mhdr"),""":""",IF(F464="server",J464,""),IF(F464="server"," ",""),K464,""",","""name""",":","""",B464,IF(P464&lt;&gt;"",CONCATENATE("""},","""plugin""",": {","""file""",":""",P464,""",","""type""",":","""","RM",""""),""""),Q464)</f>
        <v>"2":{"type":"con","src":{"5523":{"raddr":"10.2.74.21:0","mhdr":"BHb2","name":"OCCIDENTE-5523"},"6623":{"raddr":"10.2.74.21:0","mhdr":"BHb2","name":"OCCIDENTE-6623"}},"dst":{"mode":"server","raddr":"172.29.12.70:0","lport":"55999 BHb2","name":"Occident DB Slb2"}}}},</v>
      </c>
    </row>
    <row r="465" spans="1:18" ht="15" thickBot="1">
      <c r="A465" s="92">
        <v>26</v>
      </c>
      <c r="B465" s="23" t="s">
        <v>1420</v>
      </c>
      <c r="C465" s="10" t="s">
        <v>496</v>
      </c>
      <c r="D465" s="29">
        <v>1</v>
      </c>
      <c r="E465" s="93" t="s">
        <v>397</v>
      </c>
      <c r="F465" s="29" t="s">
        <v>8</v>
      </c>
      <c r="G465" s="29" t="s">
        <v>125</v>
      </c>
      <c r="H465" s="29" t="s">
        <v>437</v>
      </c>
      <c r="I465" s="29"/>
      <c r="J465" s="29">
        <v>5505</v>
      </c>
      <c r="K465" s="32" t="s">
        <v>437</v>
      </c>
      <c r="L465" s="32" t="str">
        <f t="shared" ref="L465:L467" si="82">+$B$359</f>
        <v>172.29.12.71</v>
      </c>
      <c r="M465" s="32">
        <v>35505</v>
      </c>
      <c r="N465" s="32" t="str">
        <f t="shared" ref="N465:N467" si="83">+$B$360</f>
        <v>172.29.12.72</v>
      </c>
      <c r="O465" s="32">
        <f t="shared" ref="O465:O467" si="84">+M465+10000</f>
        <v>45505</v>
      </c>
      <c r="P465" s="32" t="s">
        <v>94</v>
      </c>
      <c r="Q465" s="49" t="s">
        <v>95</v>
      </c>
      <c r="R465" s="3" t="str">
        <f t="shared" ref="R465:R511" si="85">CONCATENATE(IF(A465&lt;&gt;"",CONCATENATE("""",A465,"""",":{","""","rules","""",":{"),""),"""",D465,""":{""type"":""con"",""dst_persist"":""n"",""src"":{""",M465,""":{""raddr"":""",L465,":0"",""mhdr"":""",K465,""",","""name""",":","""NODO-01","""},""",O465,""":{""raddr"":""",N465,":0"",""mhdr"":""",K465,""",","""name""",":","""NODO-02","""}},","""dst"":{""mode"":""",F465,""",""raddr"":""",IF(F465="server",G465,I465),":",IF(F465="server",0,J465),""",""",IF(F465="server","lport","mhdr"),""":""",IF(F465="server",J465,""),IF(F465="server"," ",""),K465,""",","""name""",":","""",B465,IF(P465&lt;&gt;"",CONCATENATE("""},","""plugin""",": {","""file""",":""",P465,""",","""type""",":","""","RM",""""),""""),Q465)</f>
        <v>"26":{"rules":{"1":{"type":"con","dst_persist":"n","src":{"35505":{"raddr":"172.29.12.71:0","mhdr":"iBHb2","name":"NODO-01"},"45505":{"raddr":"172.29.12.72:0","mhdr":"iBHb2","name":"NODO-02"}},"dst":{"mode":"server","raddr":"10.2.3.132:0","lport":"5505 iBHb2","name":"Bancolombia DB 1"},"plugin": {"file":"slb_plugin_rm_biciso.so","type":"RM"}},</v>
      </c>
    </row>
    <row r="466" spans="1:18" ht="15" thickBot="1">
      <c r="A466" s="63"/>
      <c r="B466" s="7" t="s">
        <v>1421</v>
      </c>
      <c r="C466" s="2" t="s">
        <v>496</v>
      </c>
      <c r="D466" s="8">
        <v>2</v>
      </c>
      <c r="E466" s="43" t="s">
        <v>396</v>
      </c>
      <c r="F466" s="8" t="s">
        <v>8</v>
      </c>
      <c r="G466" s="8" t="s">
        <v>125</v>
      </c>
      <c r="H466" s="8" t="s">
        <v>437</v>
      </c>
      <c r="I466" s="8"/>
      <c r="J466" s="8">
        <v>5405</v>
      </c>
      <c r="K466" s="33" t="s">
        <v>437</v>
      </c>
      <c r="L466" s="32" t="str">
        <f t="shared" si="82"/>
        <v>172.29.12.71</v>
      </c>
      <c r="M466" s="33">
        <v>35405</v>
      </c>
      <c r="N466" s="32" t="str">
        <f t="shared" si="83"/>
        <v>172.29.12.72</v>
      </c>
      <c r="O466" s="33">
        <f t="shared" si="84"/>
        <v>45405</v>
      </c>
      <c r="P466" s="33" t="s">
        <v>94</v>
      </c>
      <c r="Q466" s="34" t="s">
        <v>95</v>
      </c>
      <c r="R466" s="3" t="str">
        <f t="shared" si="85"/>
        <v>"2":{"type":"con","dst_persist":"n","src":{"35405":{"raddr":"172.29.12.71:0","mhdr":"iBHb2","name":"NODO-01"},"45405":{"raddr":"172.29.12.72:0","mhdr":"iBHb2","name":"NODO-02"}},"dst":{"mode":"server","raddr":"10.2.3.132:0","lport":"5405 iBHb2","name":"Bancolombia DB 2"},"plugin": {"file":"slb_plugin_rm_biciso.so","type":"RM"}},</v>
      </c>
    </row>
    <row r="467" spans="1:18" ht="15" thickBot="1">
      <c r="A467" s="64"/>
      <c r="B467" s="16" t="s">
        <v>1422</v>
      </c>
      <c r="C467" s="14" t="s">
        <v>496</v>
      </c>
      <c r="D467" s="17">
        <v>3</v>
      </c>
      <c r="E467" s="44" t="s">
        <v>398</v>
      </c>
      <c r="F467" s="17" t="s">
        <v>8</v>
      </c>
      <c r="G467" s="17" t="s">
        <v>125</v>
      </c>
      <c r="H467" s="17" t="s">
        <v>437</v>
      </c>
      <c r="I467" s="17"/>
      <c r="J467" s="17">
        <v>5605</v>
      </c>
      <c r="K467" s="35" t="s">
        <v>437</v>
      </c>
      <c r="L467" s="32" t="str">
        <f t="shared" si="82"/>
        <v>172.29.12.71</v>
      </c>
      <c r="M467" s="35">
        <v>35605</v>
      </c>
      <c r="N467" s="32" t="str">
        <f t="shared" si="83"/>
        <v>172.29.12.72</v>
      </c>
      <c r="O467" s="35">
        <f t="shared" si="84"/>
        <v>45605</v>
      </c>
      <c r="P467" s="35" t="s">
        <v>94</v>
      </c>
      <c r="Q467" s="36" t="s">
        <v>96</v>
      </c>
      <c r="R467" s="3" t="str">
        <f t="shared" si="85"/>
        <v>"3":{"type":"con","dst_persist":"n","src":{"35605":{"raddr":"172.29.12.71:0","mhdr":"iBHb2","name":"NODO-01"},"45605":{"raddr":"172.29.12.72:0","mhdr":"iBHb2","name":"NODO-02"}},"dst":{"mode":"server","raddr":"10.2.3.132:0","lport":"5605 iBHb2","name":"Bancolombia DB 3"},"plugin": {"file":"slb_plugin_rm_biciso.so","type":"RM"}}}},</v>
      </c>
    </row>
    <row r="468" spans="1:18" ht="15" thickBot="1">
      <c r="A468" s="92">
        <v>27</v>
      </c>
      <c r="B468" s="23" t="s">
        <v>200</v>
      </c>
      <c r="C468" s="23" t="s">
        <v>497</v>
      </c>
      <c r="D468" s="29">
        <v>1</v>
      </c>
      <c r="E468" s="93" t="s">
        <v>507</v>
      </c>
      <c r="F468" s="29" t="s">
        <v>8</v>
      </c>
      <c r="G468" s="96" t="s">
        <v>208</v>
      </c>
      <c r="H468" s="29" t="s">
        <v>55</v>
      </c>
      <c r="I468" s="29"/>
      <c r="J468" s="29">
        <v>2017</v>
      </c>
      <c r="K468" s="32" t="s">
        <v>55</v>
      </c>
      <c r="L468" s="32" t="str">
        <f t="shared" ref="L468:L471" si="86">+$B$359</f>
        <v>172.29.12.71</v>
      </c>
      <c r="M468" s="32">
        <v>32017</v>
      </c>
      <c r="N468" s="32" t="str">
        <f t="shared" ref="N468:N471" si="87">+$B$360</f>
        <v>172.29.12.72</v>
      </c>
      <c r="O468" s="32">
        <f t="shared" ref="O468:O469" si="88">+M468+10000</f>
        <v>42017</v>
      </c>
      <c r="P468" s="32" t="s">
        <v>94</v>
      </c>
      <c r="Q468" s="49" t="s">
        <v>95</v>
      </c>
      <c r="R468" s="3" t="str">
        <f t="shared" si="85"/>
        <v>"27":{"rules":{"1":{"type":"con","dst_persist":"n","src":{"32017":{"raddr":"172.29.12.71:0","mhdr":"BHb2","name":"NODO-01"},"42017":{"raddr":"172.29.12.72:0","mhdr":"BHb2","name":"NODO-02"}},"dst":{"mode":"server","raddr":"0.0.0.0:0","lport":"2017 BHb2","name":"BUS QR In 1"},"plugin": {"file":"slb_plugin_rm_biciso.so","type":"RM"}},</v>
      </c>
    </row>
    <row r="469" spans="1:18" ht="15" thickBot="1">
      <c r="A469" s="63"/>
      <c r="B469" s="7" t="s">
        <v>201</v>
      </c>
      <c r="C469" s="7" t="s">
        <v>497</v>
      </c>
      <c r="D469" s="8">
        <v>2</v>
      </c>
      <c r="E469" s="43" t="s">
        <v>508</v>
      </c>
      <c r="F469" s="8" t="s">
        <v>8</v>
      </c>
      <c r="G469" s="86" t="s">
        <v>208</v>
      </c>
      <c r="H469" s="8" t="s">
        <v>55</v>
      </c>
      <c r="I469" s="8"/>
      <c r="J469" s="8">
        <v>3017</v>
      </c>
      <c r="K469" s="33" t="s">
        <v>55</v>
      </c>
      <c r="L469" s="32" t="str">
        <f t="shared" si="86"/>
        <v>172.29.12.71</v>
      </c>
      <c r="M469" s="33">
        <v>33017</v>
      </c>
      <c r="N469" s="32" t="str">
        <f t="shared" si="87"/>
        <v>172.29.12.72</v>
      </c>
      <c r="O469" s="33">
        <f t="shared" si="88"/>
        <v>43017</v>
      </c>
      <c r="P469" s="33" t="s">
        <v>94</v>
      </c>
      <c r="Q469" s="34" t="s">
        <v>95</v>
      </c>
      <c r="R469" s="3" t="str">
        <f t="shared" si="85"/>
        <v>"2":{"type":"con","dst_persist":"n","src":{"33017":{"raddr":"172.29.12.71:0","mhdr":"BHb2","name":"NODO-01"},"43017":{"raddr":"172.29.12.72:0","mhdr":"BHb2","name":"NODO-02"}},"dst":{"mode":"server","raddr":"0.0.0.0:0","lport":"3017 BHb2","name":"BUS QR In 2"},"plugin": {"file":"slb_plugin_rm_biciso.so","type":"RM"}},</v>
      </c>
    </row>
    <row r="470" spans="1:18" ht="15" thickBot="1">
      <c r="A470" s="63"/>
      <c r="B470" s="7" t="s">
        <v>202</v>
      </c>
      <c r="C470" s="7" t="s">
        <v>497</v>
      </c>
      <c r="D470" s="8">
        <v>3</v>
      </c>
      <c r="E470" s="43" t="s">
        <v>509</v>
      </c>
      <c r="F470" s="8" t="s">
        <v>14</v>
      </c>
      <c r="G470" s="8"/>
      <c r="H470" s="8" t="s">
        <v>55</v>
      </c>
      <c r="I470" s="8" t="s">
        <v>13</v>
      </c>
      <c r="J470" s="8">
        <v>2017</v>
      </c>
      <c r="K470" s="33" t="s">
        <v>55</v>
      </c>
      <c r="L470" s="32" t="str">
        <f t="shared" si="86"/>
        <v>172.29.12.71</v>
      </c>
      <c r="M470" s="33">
        <v>52017</v>
      </c>
      <c r="N470" s="32" t="str">
        <f t="shared" si="87"/>
        <v>172.29.12.72</v>
      </c>
      <c r="O470" s="33">
        <f>+M470-30000</f>
        <v>22017</v>
      </c>
      <c r="P470" s="33" t="s">
        <v>94</v>
      </c>
      <c r="Q470" s="34" t="s">
        <v>95</v>
      </c>
      <c r="R470" s="3" t="str">
        <f t="shared" si="85"/>
        <v>"3":{"type":"con","dst_persist":"n","src":{"52017":{"raddr":"172.29.12.71:0","mhdr":"BHb2","name":"NODO-01"},"22017":{"raddr":"172.29.12.72:0","mhdr":"BHb2","name":"NODO-02"}},"dst":{"mode":"client","raddr":"172.19.207.40:2017","mhdr":"BHb2","name":"B24 QR Out 1"},"plugin": {"file":"slb_plugin_rm_biciso.so","type":"RM"}},</v>
      </c>
    </row>
    <row r="471" spans="1:18" ht="15" thickBot="1">
      <c r="A471" s="64"/>
      <c r="B471" s="16" t="s">
        <v>203</v>
      </c>
      <c r="C471" s="16" t="s">
        <v>497</v>
      </c>
      <c r="D471" s="17">
        <v>4</v>
      </c>
      <c r="E471" s="44" t="s">
        <v>510</v>
      </c>
      <c r="F471" s="17" t="s">
        <v>14</v>
      </c>
      <c r="G471" s="17"/>
      <c r="H471" s="17" t="s">
        <v>55</v>
      </c>
      <c r="I471" s="17" t="s">
        <v>13</v>
      </c>
      <c r="J471" s="17">
        <v>3017</v>
      </c>
      <c r="K471" s="35" t="s">
        <v>55</v>
      </c>
      <c r="L471" s="32" t="str">
        <f t="shared" si="86"/>
        <v>172.29.12.71</v>
      </c>
      <c r="M471" s="35">
        <v>53017</v>
      </c>
      <c r="N471" s="32" t="str">
        <f t="shared" si="87"/>
        <v>172.29.12.72</v>
      </c>
      <c r="O471" s="35">
        <f>+M471-30000</f>
        <v>23017</v>
      </c>
      <c r="P471" s="35" t="s">
        <v>94</v>
      </c>
      <c r="Q471" s="36" t="s">
        <v>96</v>
      </c>
      <c r="R471" s="3" t="str">
        <f t="shared" si="85"/>
        <v>"4":{"type":"con","dst_persist":"n","src":{"53017":{"raddr":"172.29.12.71:0","mhdr":"BHb2","name":"NODO-01"},"23017":{"raddr":"172.29.12.72:0","mhdr":"BHb2","name":"NODO-02"}},"dst":{"mode":"client","raddr":"172.19.207.40:3017","mhdr":"BHb2","name":"B24 QR Out 2"},"plugin": {"file":"slb_plugin_rm_biciso.so","type":"RM"}}}},</v>
      </c>
    </row>
    <row r="472" spans="1:18">
      <c r="A472" s="92">
        <v>28</v>
      </c>
      <c r="B472" s="10" t="s">
        <v>1321</v>
      </c>
      <c r="C472" s="10" t="s">
        <v>497</v>
      </c>
      <c r="D472" s="11">
        <v>1</v>
      </c>
      <c r="E472" s="11">
        <v>10151</v>
      </c>
      <c r="F472" s="11" t="s">
        <v>14</v>
      </c>
      <c r="G472" s="29"/>
      <c r="H472" s="11" t="s">
        <v>437</v>
      </c>
      <c r="I472" s="29" t="s">
        <v>389</v>
      </c>
      <c r="J472" s="11">
        <v>5551</v>
      </c>
      <c r="K472" s="32" t="s">
        <v>437</v>
      </c>
      <c r="L472" s="32" t="str">
        <f t="shared" ref="L472:L507" si="89">+$B$174</f>
        <v>172.29.12.69</v>
      </c>
      <c r="M472" s="32" t="str">
        <f>CONCATENATE(3,J472)</f>
        <v>35551</v>
      </c>
      <c r="N472" s="32" t="str">
        <f t="shared" ref="N472:N507" si="90">+$B$175</f>
        <v>172.29.12.68</v>
      </c>
      <c r="O472" s="32">
        <f>+M472+10000</f>
        <v>45551</v>
      </c>
      <c r="P472" s="32" t="s">
        <v>94</v>
      </c>
      <c r="Q472" s="49" t="s">
        <v>95</v>
      </c>
      <c r="R472" s="3" t="str">
        <f t="shared" si="85"/>
        <v>"28":{"rules":{"1":{"type":"con","dst_persist":"n","src":{"35551":{"raddr":"172.29.12.69:0","mhdr":"iBHb2","name":"NODO-01"},"45551":{"raddr":"172.29.12.68:0","mhdr":"iBHb2","name":"NODO-02"}},"dst":{"mode":"client","raddr":"172.26.38.18:5551","mhdr":"iBHb2","name":"Base24-POS1-01"},"plugin": {"file":"slb_plugin_rm_biciso.so","type":"RM"}},</v>
      </c>
    </row>
    <row r="473" spans="1:18">
      <c r="A473" s="63"/>
      <c r="B473" s="2" t="s">
        <v>1322</v>
      </c>
      <c r="C473" s="2" t="s">
        <v>497</v>
      </c>
      <c r="D473" s="6">
        <v>2</v>
      </c>
      <c r="E473" s="6">
        <v>10152</v>
      </c>
      <c r="F473" s="6" t="s">
        <v>14</v>
      </c>
      <c r="G473" s="8"/>
      <c r="H473" s="6" t="s">
        <v>437</v>
      </c>
      <c r="I473" s="8" t="s">
        <v>389</v>
      </c>
      <c r="J473" s="6">
        <v>5552</v>
      </c>
      <c r="K473" s="33" t="s">
        <v>437</v>
      </c>
      <c r="L473" s="33" t="str">
        <f t="shared" si="89"/>
        <v>172.29.12.69</v>
      </c>
      <c r="M473" s="33" t="str">
        <f t="shared" ref="M473:M507" si="91">CONCATENATE(3,J473)</f>
        <v>35552</v>
      </c>
      <c r="N473" s="33" t="str">
        <f t="shared" si="90"/>
        <v>172.29.12.68</v>
      </c>
      <c r="O473" s="33">
        <f t="shared" ref="O473:O507" si="92">+M473+10000</f>
        <v>45552</v>
      </c>
      <c r="P473" s="33" t="s">
        <v>94</v>
      </c>
      <c r="Q473" s="34" t="s">
        <v>95</v>
      </c>
      <c r="R473" s="3" t="str">
        <f t="shared" si="85"/>
        <v>"2":{"type":"con","dst_persist":"n","src":{"35552":{"raddr":"172.29.12.69:0","mhdr":"iBHb2","name":"NODO-01"},"45552":{"raddr":"172.29.12.68:0","mhdr":"iBHb2","name":"NODO-02"}},"dst":{"mode":"client","raddr":"172.26.38.18:5552","mhdr":"iBHb2","name":"Base24-POS1-02"},"plugin": {"file":"slb_plugin_rm_biciso.so","type":"RM"}},</v>
      </c>
    </row>
    <row r="474" spans="1:18">
      <c r="A474" s="63"/>
      <c r="B474" s="2" t="s">
        <v>1323</v>
      </c>
      <c r="C474" s="2" t="s">
        <v>497</v>
      </c>
      <c r="D474" s="6">
        <v>3</v>
      </c>
      <c r="E474" s="6">
        <v>10153</v>
      </c>
      <c r="F474" s="6" t="s">
        <v>14</v>
      </c>
      <c r="G474" s="8"/>
      <c r="H474" s="6" t="s">
        <v>437</v>
      </c>
      <c r="I474" s="8" t="s">
        <v>389</v>
      </c>
      <c r="J474" s="6">
        <v>5553</v>
      </c>
      <c r="K474" s="33" t="s">
        <v>437</v>
      </c>
      <c r="L474" s="33" t="str">
        <f t="shared" si="89"/>
        <v>172.29.12.69</v>
      </c>
      <c r="M474" s="33" t="str">
        <f t="shared" si="91"/>
        <v>35553</v>
      </c>
      <c r="N474" s="33" t="str">
        <f t="shared" si="90"/>
        <v>172.29.12.68</v>
      </c>
      <c r="O474" s="33">
        <f t="shared" si="92"/>
        <v>45553</v>
      </c>
      <c r="P474" s="33" t="s">
        <v>94</v>
      </c>
      <c r="Q474" s="34" t="s">
        <v>95</v>
      </c>
      <c r="R474" s="3" t="str">
        <f t="shared" si="85"/>
        <v>"3":{"type":"con","dst_persist":"n","src":{"35553":{"raddr":"172.29.12.69:0","mhdr":"iBHb2","name":"NODO-01"},"45553":{"raddr":"172.29.12.68:0","mhdr":"iBHb2","name":"NODO-02"}},"dst":{"mode":"client","raddr":"172.26.38.18:5553","mhdr":"iBHb2","name":"Base24-POS1-03"},"plugin": {"file":"slb_plugin_rm_biciso.so","type":"RM"}},</v>
      </c>
    </row>
    <row r="475" spans="1:18">
      <c r="A475" s="63"/>
      <c r="B475" s="2" t="s">
        <v>1324</v>
      </c>
      <c r="C475" s="2" t="s">
        <v>497</v>
      </c>
      <c r="D475" s="6">
        <v>4</v>
      </c>
      <c r="E475" s="6">
        <v>10154</v>
      </c>
      <c r="F475" s="6" t="s">
        <v>14</v>
      </c>
      <c r="G475" s="8"/>
      <c r="H475" s="6" t="s">
        <v>437</v>
      </c>
      <c r="I475" s="8" t="s">
        <v>389</v>
      </c>
      <c r="J475" s="6">
        <v>5554</v>
      </c>
      <c r="K475" s="33" t="s">
        <v>437</v>
      </c>
      <c r="L475" s="33" t="str">
        <f t="shared" si="89"/>
        <v>172.29.12.69</v>
      </c>
      <c r="M475" s="33" t="str">
        <f t="shared" si="91"/>
        <v>35554</v>
      </c>
      <c r="N475" s="33" t="str">
        <f t="shared" si="90"/>
        <v>172.29.12.68</v>
      </c>
      <c r="O475" s="33">
        <f t="shared" si="92"/>
        <v>45554</v>
      </c>
      <c r="P475" s="33" t="s">
        <v>94</v>
      </c>
      <c r="Q475" s="34" t="s">
        <v>95</v>
      </c>
      <c r="R475" s="3" t="str">
        <f t="shared" si="85"/>
        <v>"4":{"type":"con","dst_persist":"n","src":{"35554":{"raddr":"172.29.12.69:0","mhdr":"iBHb2","name":"NODO-01"},"45554":{"raddr":"172.29.12.68:0","mhdr":"iBHb2","name":"NODO-02"}},"dst":{"mode":"client","raddr":"172.26.38.18:5554","mhdr":"iBHb2","name":"Base24-POS1-04"},"plugin": {"file":"slb_plugin_rm_biciso.so","type":"RM"}},</v>
      </c>
    </row>
    <row r="476" spans="1:18">
      <c r="A476" s="63"/>
      <c r="B476" s="2" t="s">
        <v>1325</v>
      </c>
      <c r="C476" s="2" t="s">
        <v>497</v>
      </c>
      <c r="D476" s="6">
        <v>5</v>
      </c>
      <c r="E476" s="6">
        <v>10155</v>
      </c>
      <c r="F476" s="6" t="s">
        <v>14</v>
      </c>
      <c r="G476" s="8"/>
      <c r="H476" s="6" t="s">
        <v>437</v>
      </c>
      <c r="I476" s="8" t="s">
        <v>389</v>
      </c>
      <c r="J476" s="6">
        <v>5555</v>
      </c>
      <c r="K476" s="33" t="s">
        <v>437</v>
      </c>
      <c r="L476" s="33" t="str">
        <f t="shared" si="89"/>
        <v>172.29.12.69</v>
      </c>
      <c r="M476" s="33" t="str">
        <f t="shared" si="91"/>
        <v>35555</v>
      </c>
      <c r="N476" s="33" t="str">
        <f t="shared" si="90"/>
        <v>172.29.12.68</v>
      </c>
      <c r="O476" s="33">
        <f t="shared" si="92"/>
        <v>45555</v>
      </c>
      <c r="P476" s="33" t="s">
        <v>94</v>
      </c>
      <c r="Q476" s="34" t="s">
        <v>95</v>
      </c>
      <c r="R476" s="3" t="str">
        <f t="shared" si="85"/>
        <v>"5":{"type":"con","dst_persist":"n","src":{"35555":{"raddr":"172.29.12.69:0","mhdr":"iBHb2","name":"NODO-01"},"45555":{"raddr":"172.29.12.68:0","mhdr":"iBHb2","name":"NODO-02"}},"dst":{"mode":"client","raddr":"172.26.38.18:5555","mhdr":"iBHb2","name":"Base24-POS1-05"},"plugin": {"file":"slb_plugin_rm_biciso.so","type":"RM"}},</v>
      </c>
    </row>
    <row r="477" spans="1:18" ht="15" thickBot="1">
      <c r="A477" s="64"/>
      <c r="B477" s="14" t="s">
        <v>1326</v>
      </c>
      <c r="C477" s="14" t="s">
        <v>497</v>
      </c>
      <c r="D477" s="15">
        <v>6</v>
      </c>
      <c r="E477" s="15">
        <v>10156</v>
      </c>
      <c r="F477" s="15" t="s">
        <v>14</v>
      </c>
      <c r="G477" s="17"/>
      <c r="H477" s="15" t="s">
        <v>437</v>
      </c>
      <c r="I477" s="17" t="s">
        <v>389</v>
      </c>
      <c r="J477" s="15">
        <v>5556</v>
      </c>
      <c r="K477" s="35" t="s">
        <v>437</v>
      </c>
      <c r="L477" s="35" t="str">
        <f t="shared" si="89"/>
        <v>172.29.12.69</v>
      </c>
      <c r="M477" s="35" t="str">
        <f t="shared" si="91"/>
        <v>35556</v>
      </c>
      <c r="N477" s="35" t="str">
        <f t="shared" si="90"/>
        <v>172.29.12.68</v>
      </c>
      <c r="O477" s="35">
        <f t="shared" si="92"/>
        <v>45556</v>
      </c>
      <c r="P477" s="35" t="s">
        <v>94</v>
      </c>
      <c r="Q477" s="36" t="s">
        <v>96</v>
      </c>
      <c r="R477" s="3" t="str">
        <f t="shared" si="85"/>
        <v>"6":{"type":"con","dst_persist":"n","src":{"35556":{"raddr":"172.29.12.69:0","mhdr":"iBHb2","name":"NODO-01"},"45556":{"raddr":"172.29.12.68:0","mhdr":"iBHb2","name":"NODO-02"}},"dst":{"mode":"client","raddr":"172.26.38.18:5556","mhdr":"iBHb2","name":"Base24-POS1-06"},"plugin": {"file":"slb_plugin_rm_biciso.so","type":"RM"}}}},</v>
      </c>
    </row>
    <row r="478" spans="1:18">
      <c r="A478" s="92">
        <v>29</v>
      </c>
      <c r="B478" s="10" t="s">
        <v>1357</v>
      </c>
      <c r="C478" s="10" t="s">
        <v>497</v>
      </c>
      <c r="D478" s="11">
        <v>1</v>
      </c>
      <c r="E478" s="11">
        <v>10157</v>
      </c>
      <c r="F478" s="11" t="s">
        <v>14</v>
      </c>
      <c r="G478" s="29"/>
      <c r="H478" s="11" t="s">
        <v>437</v>
      </c>
      <c r="I478" s="29" t="s">
        <v>389</v>
      </c>
      <c r="J478" s="11">
        <v>5557</v>
      </c>
      <c r="K478" s="32" t="s">
        <v>437</v>
      </c>
      <c r="L478" s="32" t="str">
        <f t="shared" si="89"/>
        <v>172.29.12.69</v>
      </c>
      <c r="M478" s="32" t="str">
        <f t="shared" si="91"/>
        <v>35557</v>
      </c>
      <c r="N478" s="32" t="str">
        <f t="shared" si="90"/>
        <v>172.29.12.68</v>
      </c>
      <c r="O478" s="32">
        <f t="shared" si="92"/>
        <v>45557</v>
      </c>
      <c r="P478" s="32" t="s">
        <v>94</v>
      </c>
      <c r="Q478" s="49" t="s">
        <v>95</v>
      </c>
      <c r="R478" s="3" t="str">
        <f t="shared" si="85"/>
        <v>"29":{"rules":{"1":{"type":"con","dst_persist":"n","src":{"35557":{"raddr":"172.29.12.69:0","mhdr":"iBHb2","name":"NODO-01"},"45557":{"raddr":"172.29.12.68:0","mhdr":"iBHb2","name":"NODO-02"}},"dst":{"mode":"client","raddr":"172.26.38.18:5557","mhdr":"iBHb2","name":"Base24-POS2-07"},"plugin": {"file":"slb_plugin_rm_biciso.so","type":"RM"}},</v>
      </c>
    </row>
    <row r="479" spans="1:18">
      <c r="A479" s="63"/>
      <c r="B479" s="2" t="s">
        <v>1358</v>
      </c>
      <c r="C479" s="2" t="s">
        <v>497</v>
      </c>
      <c r="D479" s="6">
        <v>2</v>
      </c>
      <c r="E479" s="6">
        <v>10158</v>
      </c>
      <c r="F479" s="6" t="s">
        <v>14</v>
      </c>
      <c r="G479" s="8"/>
      <c r="H479" s="6" t="s">
        <v>437</v>
      </c>
      <c r="I479" s="8" t="s">
        <v>389</v>
      </c>
      <c r="J479" s="6">
        <v>5558</v>
      </c>
      <c r="K479" s="33" t="s">
        <v>437</v>
      </c>
      <c r="L479" s="33" t="str">
        <f t="shared" si="89"/>
        <v>172.29.12.69</v>
      </c>
      <c r="M479" s="33" t="str">
        <f t="shared" si="91"/>
        <v>35558</v>
      </c>
      <c r="N479" s="33" t="str">
        <f t="shared" si="90"/>
        <v>172.29.12.68</v>
      </c>
      <c r="O479" s="33">
        <f t="shared" si="92"/>
        <v>45558</v>
      </c>
      <c r="P479" s="33" t="s">
        <v>94</v>
      </c>
      <c r="Q479" s="34" t="s">
        <v>95</v>
      </c>
      <c r="R479" s="3" t="str">
        <f t="shared" si="85"/>
        <v>"2":{"type":"con","dst_persist":"n","src":{"35558":{"raddr":"172.29.12.69:0","mhdr":"iBHb2","name":"NODO-01"},"45558":{"raddr":"172.29.12.68:0","mhdr":"iBHb2","name":"NODO-02"}},"dst":{"mode":"client","raddr":"172.26.38.18:5558","mhdr":"iBHb2","name":"Base24-POS2-08"},"plugin": {"file":"slb_plugin_rm_biciso.so","type":"RM"}},</v>
      </c>
    </row>
    <row r="480" spans="1:18">
      <c r="A480" s="63"/>
      <c r="B480" s="2" t="s">
        <v>1359</v>
      </c>
      <c r="C480" s="2" t="s">
        <v>497</v>
      </c>
      <c r="D480" s="6">
        <v>3</v>
      </c>
      <c r="E480" s="6">
        <v>10159</v>
      </c>
      <c r="F480" s="6" t="s">
        <v>14</v>
      </c>
      <c r="G480" s="8"/>
      <c r="H480" s="6" t="s">
        <v>437</v>
      </c>
      <c r="I480" s="8" t="s">
        <v>389</v>
      </c>
      <c r="J480" s="6">
        <v>5559</v>
      </c>
      <c r="K480" s="33" t="s">
        <v>437</v>
      </c>
      <c r="L480" s="33" t="str">
        <f t="shared" si="89"/>
        <v>172.29.12.69</v>
      </c>
      <c r="M480" s="33" t="str">
        <f t="shared" si="91"/>
        <v>35559</v>
      </c>
      <c r="N480" s="33" t="str">
        <f t="shared" si="90"/>
        <v>172.29.12.68</v>
      </c>
      <c r="O480" s="33">
        <f t="shared" si="92"/>
        <v>45559</v>
      </c>
      <c r="P480" s="33" t="s">
        <v>94</v>
      </c>
      <c r="Q480" s="34" t="s">
        <v>95</v>
      </c>
      <c r="R480" s="3" t="str">
        <f t="shared" si="85"/>
        <v>"3":{"type":"con","dst_persist":"n","src":{"35559":{"raddr":"172.29.12.69:0","mhdr":"iBHb2","name":"NODO-01"},"45559":{"raddr":"172.29.12.68:0","mhdr":"iBHb2","name":"NODO-02"}},"dst":{"mode":"client","raddr":"172.26.38.18:5559","mhdr":"iBHb2","name":"Base24-POS2-09"},"plugin": {"file":"slb_plugin_rm_biciso.so","type":"RM"}},</v>
      </c>
    </row>
    <row r="481" spans="1:18">
      <c r="A481" s="63"/>
      <c r="B481" s="2" t="s">
        <v>1360</v>
      </c>
      <c r="C481" s="2" t="s">
        <v>497</v>
      </c>
      <c r="D481" s="6">
        <v>4</v>
      </c>
      <c r="E481" s="6">
        <v>10160</v>
      </c>
      <c r="F481" s="6" t="s">
        <v>14</v>
      </c>
      <c r="G481" s="8"/>
      <c r="H481" s="6" t="s">
        <v>437</v>
      </c>
      <c r="I481" s="8" t="s">
        <v>389</v>
      </c>
      <c r="J481" s="6">
        <v>5560</v>
      </c>
      <c r="K481" s="33" t="s">
        <v>437</v>
      </c>
      <c r="L481" s="33" t="str">
        <f t="shared" si="89"/>
        <v>172.29.12.69</v>
      </c>
      <c r="M481" s="33" t="str">
        <f t="shared" si="91"/>
        <v>35560</v>
      </c>
      <c r="N481" s="33" t="str">
        <f t="shared" si="90"/>
        <v>172.29.12.68</v>
      </c>
      <c r="O481" s="33">
        <f t="shared" si="92"/>
        <v>45560</v>
      </c>
      <c r="P481" s="33" t="s">
        <v>94</v>
      </c>
      <c r="Q481" s="34" t="s">
        <v>95</v>
      </c>
      <c r="R481" s="3" t="str">
        <f t="shared" si="85"/>
        <v>"4":{"type":"con","dst_persist":"n","src":{"35560":{"raddr":"172.29.12.69:0","mhdr":"iBHb2","name":"NODO-01"},"45560":{"raddr":"172.29.12.68:0","mhdr":"iBHb2","name":"NODO-02"}},"dst":{"mode":"client","raddr":"172.26.38.18:5560","mhdr":"iBHb2","name":"Base24-POS2-10"},"plugin": {"file":"slb_plugin_rm_biciso.so","type":"RM"}},</v>
      </c>
    </row>
    <row r="482" spans="1:18">
      <c r="A482" s="63"/>
      <c r="B482" s="2" t="s">
        <v>1361</v>
      </c>
      <c r="C482" s="2" t="s">
        <v>497</v>
      </c>
      <c r="D482" s="6">
        <v>5</v>
      </c>
      <c r="E482" s="6">
        <v>10161</v>
      </c>
      <c r="F482" s="6" t="s">
        <v>14</v>
      </c>
      <c r="G482" s="8"/>
      <c r="H482" s="6" t="s">
        <v>437</v>
      </c>
      <c r="I482" s="8" t="s">
        <v>389</v>
      </c>
      <c r="J482" s="6">
        <v>5561</v>
      </c>
      <c r="K482" s="33" t="s">
        <v>437</v>
      </c>
      <c r="L482" s="33" t="str">
        <f t="shared" si="89"/>
        <v>172.29.12.69</v>
      </c>
      <c r="M482" s="33" t="str">
        <f t="shared" si="91"/>
        <v>35561</v>
      </c>
      <c r="N482" s="33" t="str">
        <f t="shared" si="90"/>
        <v>172.29.12.68</v>
      </c>
      <c r="O482" s="33">
        <f t="shared" si="92"/>
        <v>45561</v>
      </c>
      <c r="P482" s="33" t="s">
        <v>94</v>
      </c>
      <c r="Q482" s="34" t="s">
        <v>95</v>
      </c>
      <c r="R482" s="3" t="str">
        <f t="shared" si="85"/>
        <v>"5":{"type":"con","dst_persist":"n","src":{"35561":{"raddr":"172.29.12.69:0","mhdr":"iBHb2","name":"NODO-01"},"45561":{"raddr":"172.29.12.68:0","mhdr":"iBHb2","name":"NODO-02"}},"dst":{"mode":"client","raddr":"172.26.38.18:5561","mhdr":"iBHb2","name":"Base24-POS2-11"},"plugin": {"file":"slb_plugin_rm_biciso.so","type":"RM"}},</v>
      </c>
    </row>
    <row r="483" spans="1:18" ht="15" thickBot="1">
      <c r="A483" s="64"/>
      <c r="B483" s="14" t="s">
        <v>1362</v>
      </c>
      <c r="C483" s="14" t="s">
        <v>497</v>
      </c>
      <c r="D483" s="15">
        <v>6</v>
      </c>
      <c r="E483" s="15">
        <v>10162</v>
      </c>
      <c r="F483" s="15" t="s">
        <v>14</v>
      </c>
      <c r="G483" s="17"/>
      <c r="H483" s="15" t="s">
        <v>437</v>
      </c>
      <c r="I483" s="17" t="s">
        <v>389</v>
      </c>
      <c r="J483" s="15">
        <v>5562</v>
      </c>
      <c r="K483" s="35" t="s">
        <v>437</v>
      </c>
      <c r="L483" s="35" t="str">
        <f t="shared" si="89"/>
        <v>172.29.12.69</v>
      </c>
      <c r="M483" s="35" t="str">
        <f t="shared" si="91"/>
        <v>35562</v>
      </c>
      <c r="N483" s="35" t="str">
        <f t="shared" si="90"/>
        <v>172.29.12.68</v>
      </c>
      <c r="O483" s="35">
        <f t="shared" si="92"/>
        <v>45562</v>
      </c>
      <c r="P483" s="35" t="s">
        <v>94</v>
      </c>
      <c r="Q483" s="36" t="s">
        <v>96</v>
      </c>
      <c r="R483" s="3" t="str">
        <f t="shared" si="85"/>
        <v>"6":{"type":"con","dst_persist":"n","src":{"35562":{"raddr":"172.29.12.69:0","mhdr":"iBHb2","name":"NODO-01"},"45562":{"raddr":"172.29.12.68:0","mhdr":"iBHb2","name":"NODO-02"}},"dst":{"mode":"client","raddr":"172.26.38.18:5562","mhdr":"iBHb2","name":"Base24-POS2-12"},"plugin": {"file":"slb_plugin_rm_biciso.so","type":"RM"}}}},</v>
      </c>
    </row>
    <row r="484" spans="1:18">
      <c r="A484" s="92">
        <v>30</v>
      </c>
      <c r="B484" s="10" t="s">
        <v>1363</v>
      </c>
      <c r="C484" s="10" t="s">
        <v>497</v>
      </c>
      <c r="D484" s="11">
        <v>1</v>
      </c>
      <c r="E484" s="11">
        <v>10163</v>
      </c>
      <c r="F484" s="11" t="s">
        <v>14</v>
      </c>
      <c r="G484" s="29"/>
      <c r="H484" s="11" t="s">
        <v>437</v>
      </c>
      <c r="I484" s="29" t="s">
        <v>389</v>
      </c>
      <c r="J484" s="11">
        <v>5563</v>
      </c>
      <c r="K484" s="32" t="s">
        <v>437</v>
      </c>
      <c r="L484" s="32" t="str">
        <f t="shared" si="89"/>
        <v>172.29.12.69</v>
      </c>
      <c r="M484" s="32" t="str">
        <f t="shared" si="91"/>
        <v>35563</v>
      </c>
      <c r="N484" s="32" t="str">
        <f t="shared" si="90"/>
        <v>172.29.12.68</v>
      </c>
      <c r="O484" s="32">
        <f t="shared" si="92"/>
        <v>45563</v>
      </c>
      <c r="P484" s="32" t="s">
        <v>94</v>
      </c>
      <c r="Q484" s="49" t="s">
        <v>95</v>
      </c>
      <c r="R484" s="3" t="str">
        <f t="shared" si="85"/>
        <v>"30":{"rules":{"1":{"type":"con","dst_persist":"n","src":{"35563":{"raddr":"172.29.12.69:0","mhdr":"iBHb2","name":"NODO-01"},"45563":{"raddr":"172.29.12.68:0","mhdr":"iBHb2","name":"NODO-02"}},"dst":{"mode":"client","raddr":"172.26.38.18:5563","mhdr":"iBHb2","name":"Base24-POS3-13"},"plugin": {"file":"slb_plugin_rm_biciso.so","type":"RM"}},</v>
      </c>
    </row>
    <row r="485" spans="1:18">
      <c r="A485" s="63"/>
      <c r="B485" s="2" t="s">
        <v>1364</v>
      </c>
      <c r="C485" s="2" t="s">
        <v>497</v>
      </c>
      <c r="D485" s="6">
        <v>2</v>
      </c>
      <c r="E485" s="6">
        <v>10164</v>
      </c>
      <c r="F485" s="6" t="s">
        <v>14</v>
      </c>
      <c r="G485" s="8"/>
      <c r="H485" s="6" t="s">
        <v>437</v>
      </c>
      <c r="I485" s="8" t="s">
        <v>389</v>
      </c>
      <c r="J485" s="6">
        <v>5564</v>
      </c>
      <c r="K485" s="33" t="s">
        <v>437</v>
      </c>
      <c r="L485" s="33" t="str">
        <f t="shared" si="89"/>
        <v>172.29.12.69</v>
      </c>
      <c r="M485" s="33" t="str">
        <f t="shared" si="91"/>
        <v>35564</v>
      </c>
      <c r="N485" s="33" t="str">
        <f t="shared" si="90"/>
        <v>172.29.12.68</v>
      </c>
      <c r="O485" s="33">
        <f t="shared" si="92"/>
        <v>45564</v>
      </c>
      <c r="P485" s="33" t="s">
        <v>94</v>
      </c>
      <c r="Q485" s="34" t="s">
        <v>95</v>
      </c>
      <c r="R485" s="3" t="str">
        <f t="shared" si="85"/>
        <v>"2":{"type":"con","dst_persist":"n","src":{"35564":{"raddr":"172.29.12.69:0","mhdr":"iBHb2","name":"NODO-01"},"45564":{"raddr":"172.29.12.68:0","mhdr":"iBHb2","name":"NODO-02"}},"dst":{"mode":"client","raddr":"172.26.38.18:5564","mhdr":"iBHb2","name":"Base24-POS3-14"},"plugin": {"file":"slb_plugin_rm_biciso.so","type":"RM"}},</v>
      </c>
    </row>
    <row r="486" spans="1:18">
      <c r="A486" s="63"/>
      <c r="B486" s="2" t="s">
        <v>1365</v>
      </c>
      <c r="C486" s="2" t="s">
        <v>497</v>
      </c>
      <c r="D486" s="6">
        <v>3</v>
      </c>
      <c r="E486" s="6">
        <v>10165</v>
      </c>
      <c r="F486" s="6" t="s">
        <v>14</v>
      </c>
      <c r="G486" s="8"/>
      <c r="H486" s="6" t="s">
        <v>437</v>
      </c>
      <c r="I486" s="8" t="s">
        <v>389</v>
      </c>
      <c r="J486" s="6">
        <v>5565</v>
      </c>
      <c r="K486" s="33" t="s">
        <v>437</v>
      </c>
      <c r="L486" s="33" t="str">
        <f t="shared" si="89"/>
        <v>172.29.12.69</v>
      </c>
      <c r="M486" s="33" t="str">
        <f t="shared" si="91"/>
        <v>35565</v>
      </c>
      <c r="N486" s="33" t="str">
        <f t="shared" si="90"/>
        <v>172.29.12.68</v>
      </c>
      <c r="O486" s="33">
        <f t="shared" si="92"/>
        <v>45565</v>
      </c>
      <c r="P486" s="33" t="s">
        <v>94</v>
      </c>
      <c r="Q486" s="34" t="s">
        <v>95</v>
      </c>
      <c r="R486" s="3" t="str">
        <f t="shared" si="85"/>
        <v>"3":{"type":"con","dst_persist":"n","src":{"35565":{"raddr":"172.29.12.69:0","mhdr":"iBHb2","name":"NODO-01"},"45565":{"raddr":"172.29.12.68:0","mhdr":"iBHb2","name":"NODO-02"}},"dst":{"mode":"client","raddr":"172.26.38.18:5565","mhdr":"iBHb2","name":"Base24-POS3-15"},"plugin": {"file":"slb_plugin_rm_biciso.so","type":"RM"}},</v>
      </c>
    </row>
    <row r="487" spans="1:18">
      <c r="A487" s="63"/>
      <c r="B487" s="2" t="s">
        <v>1366</v>
      </c>
      <c r="C487" s="2" t="s">
        <v>497</v>
      </c>
      <c r="D487" s="6">
        <v>4</v>
      </c>
      <c r="E487" s="6">
        <v>10166</v>
      </c>
      <c r="F487" s="6" t="s">
        <v>14</v>
      </c>
      <c r="G487" s="8"/>
      <c r="H487" s="6" t="s">
        <v>437</v>
      </c>
      <c r="I487" s="8" t="s">
        <v>389</v>
      </c>
      <c r="J487" s="6">
        <v>5566</v>
      </c>
      <c r="K487" s="33" t="s">
        <v>437</v>
      </c>
      <c r="L487" s="33" t="str">
        <f t="shared" si="89"/>
        <v>172.29.12.69</v>
      </c>
      <c r="M487" s="33" t="str">
        <f t="shared" si="91"/>
        <v>35566</v>
      </c>
      <c r="N487" s="33" t="str">
        <f t="shared" si="90"/>
        <v>172.29.12.68</v>
      </c>
      <c r="O487" s="33">
        <f t="shared" si="92"/>
        <v>45566</v>
      </c>
      <c r="P487" s="33" t="s">
        <v>94</v>
      </c>
      <c r="Q487" s="34" t="s">
        <v>95</v>
      </c>
      <c r="R487" s="3" t="str">
        <f t="shared" si="85"/>
        <v>"4":{"type":"con","dst_persist":"n","src":{"35566":{"raddr":"172.29.12.69:0","mhdr":"iBHb2","name":"NODO-01"},"45566":{"raddr":"172.29.12.68:0","mhdr":"iBHb2","name":"NODO-02"}},"dst":{"mode":"client","raddr":"172.26.38.18:5566","mhdr":"iBHb2","name":"Base24-POS3-16"},"plugin": {"file":"slb_plugin_rm_biciso.so","type":"RM"}},</v>
      </c>
    </row>
    <row r="488" spans="1:18">
      <c r="A488" s="63"/>
      <c r="B488" s="2" t="s">
        <v>1367</v>
      </c>
      <c r="C488" s="2" t="s">
        <v>497</v>
      </c>
      <c r="D488" s="6">
        <v>5</v>
      </c>
      <c r="E488" s="6">
        <v>10167</v>
      </c>
      <c r="F488" s="6" t="s">
        <v>14</v>
      </c>
      <c r="G488" s="8"/>
      <c r="H488" s="6" t="s">
        <v>437</v>
      </c>
      <c r="I488" s="8" t="s">
        <v>389</v>
      </c>
      <c r="J488" s="6">
        <v>5567</v>
      </c>
      <c r="K488" s="33" t="s">
        <v>437</v>
      </c>
      <c r="L488" s="33" t="str">
        <f t="shared" si="89"/>
        <v>172.29.12.69</v>
      </c>
      <c r="M488" s="33" t="str">
        <f t="shared" si="91"/>
        <v>35567</v>
      </c>
      <c r="N488" s="33" t="str">
        <f t="shared" si="90"/>
        <v>172.29.12.68</v>
      </c>
      <c r="O488" s="33">
        <f t="shared" si="92"/>
        <v>45567</v>
      </c>
      <c r="P488" s="33" t="s">
        <v>94</v>
      </c>
      <c r="Q488" s="34" t="s">
        <v>95</v>
      </c>
      <c r="R488" s="3" t="str">
        <f t="shared" si="85"/>
        <v>"5":{"type":"con","dst_persist":"n","src":{"35567":{"raddr":"172.29.12.69:0","mhdr":"iBHb2","name":"NODO-01"},"45567":{"raddr":"172.29.12.68:0","mhdr":"iBHb2","name":"NODO-02"}},"dst":{"mode":"client","raddr":"172.26.38.18:5567","mhdr":"iBHb2","name":"Base24-POS3-17"},"plugin": {"file":"slb_plugin_rm_biciso.so","type":"RM"}},</v>
      </c>
    </row>
    <row r="489" spans="1:18" ht="15" thickBot="1">
      <c r="A489" s="64"/>
      <c r="B489" s="14" t="s">
        <v>1368</v>
      </c>
      <c r="C489" s="14" t="s">
        <v>497</v>
      </c>
      <c r="D489" s="15">
        <v>6</v>
      </c>
      <c r="E489" s="15">
        <v>10168</v>
      </c>
      <c r="F489" s="15" t="s">
        <v>14</v>
      </c>
      <c r="G489" s="17"/>
      <c r="H489" s="15" t="s">
        <v>437</v>
      </c>
      <c r="I489" s="17" t="s">
        <v>389</v>
      </c>
      <c r="J489" s="15">
        <v>5568</v>
      </c>
      <c r="K489" s="35" t="s">
        <v>437</v>
      </c>
      <c r="L489" s="35" t="str">
        <f t="shared" si="89"/>
        <v>172.29.12.69</v>
      </c>
      <c r="M489" s="35" t="str">
        <f t="shared" si="91"/>
        <v>35568</v>
      </c>
      <c r="N489" s="35" t="str">
        <f t="shared" si="90"/>
        <v>172.29.12.68</v>
      </c>
      <c r="O489" s="35">
        <f t="shared" si="92"/>
        <v>45568</v>
      </c>
      <c r="P489" s="35" t="s">
        <v>94</v>
      </c>
      <c r="Q489" s="36" t="s">
        <v>96</v>
      </c>
      <c r="R489" s="3" t="str">
        <f t="shared" si="85"/>
        <v>"6":{"type":"con","dst_persist":"n","src":{"35568":{"raddr":"172.29.12.69:0","mhdr":"iBHb2","name":"NODO-01"},"45568":{"raddr":"172.29.12.68:0","mhdr":"iBHb2","name":"NODO-02"}},"dst":{"mode":"client","raddr":"172.26.38.18:5568","mhdr":"iBHb2","name":"Base24-POS3-18"},"plugin": {"file":"slb_plugin_rm_biciso.so","type":"RM"}}}},</v>
      </c>
    </row>
    <row r="490" spans="1:18">
      <c r="A490" s="92">
        <v>31</v>
      </c>
      <c r="B490" s="10" t="s">
        <v>1369</v>
      </c>
      <c r="C490" s="10" t="s">
        <v>497</v>
      </c>
      <c r="D490" s="11">
        <v>1</v>
      </c>
      <c r="E490" s="11">
        <v>10169</v>
      </c>
      <c r="F490" s="11" t="s">
        <v>14</v>
      </c>
      <c r="G490" s="29"/>
      <c r="H490" s="11" t="s">
        <v>437</v>
      </c>
      <c r="I490" s="29" t="s">
        <v>389</v>
      </c>
      <c r="J490" s="11">
        <v>5569</v>
      </c>
      <c r="K490" s="32" t="s">
        <v>437</v>
      </c>
      <c r="L490" s="32" t="str">
        <f t="shared" si="89"/>
        <v>172.29.12.69</v>
      </c>
      <c r="M490" s="32" t="str">
        <f t="shared" si="91"/>
        <v>35569</v>
      </c>
      <c r="N490" s="32" t="str">
        <f t="shared" si="90"/>
        <v>172.29.12.68</v>
      </c>
      <c r="O490" s="32">
        <f t="shared" si="92"/>
        <v>45569</v>
      </c>
      <c r="P490" s="32" t="s">
        <v>94</v>
      </c>
      <c r="Q490" s="49" t="s">
        <v>95</v>
      </c>
      <c r="R490" s="3" t="str">
        <f t="shared" si="85"/>
        <v>"31":{"rules":{"1":{"type":"con","dst_persist":"n","src":{"35569":{"raddr":"172.29.12.69:0","mhdr":"iBHb2","name":"NODO-01"},"45569":{"raddr":"172.29.12.68:0","mhdr":"iBHb2","name":"NODO-02"}},"dst":{"mode":"client","raddr":"172.26.38.18:5569","mhdr":"iBHb2","name":"Base24-POS4-19"},"plugin": {"file":"slb_plugin_rm_biciso.so","type":"RM"}},</v>
      </c>
    </row>
    <row r="491" spans="1:18">
      <c r="A491" s="63"/>
      <c r="B491" s="2" t="s">
        <v>1370</v>
      </c>
      <c r="C491" s="2" t="s">
        <v>497</v>
      </c>
      <c r="D491" s="6">
        <v>2</v>
      </c>
      <c r="E491" s="6">
        <v>10170</v>
      </c>
      <c r="F491" s="6" t="s">
        <v>14</v>
      </c>
      <c r="G491" s="8"/>
      <c r="H491" s="6" t="s">
        <v>437</v>
      </c>
      <c r="I491" s="8" t="s">
        <v>389</v>
      </c>
      <c r="J491" s="6">
        <v>5570</v>
      </c>
      <c r="K491" s="33" t="s">
        <v>437</v>
      </c>
      <c r="L491" s="33" t="str">
        <f t="shared" si="89"/>
        <v>172.29.12.69</v>
      </c>
      <c r="M491" s="33" t="str">
        <f t="shared" si="91"/>
        <v>35570</v>
      </c>
      <c r="N491" s="33" t="str">
        <f t="shared" si="90"/>
        <v>172.29.12.68</v>
      </c>
      <c r="O491" s="33">
        <f t="shared" si="92"/>
        <v>45570</v>
      </c>
      <c r="P491" s="33" t="s">
        <v>94</v>
      </c>
      <c r="Q491" s="34" t="s">
        <v>95</v>
      </c>
      <c r="R491" s="3" t="str">
        <f t="shared" si="85"/>
        <v>"2":{"type":"con","dst_persist":"n","src":{"35570":{"raddr":"172.29.12.69:0","mhdr":"iBHb2","name":"NODO-01"},"45570":{"raddr":"172.29.12.68:0","mhdr":"iBHb2","name":"NODO-02"}},"dst":{"mode":"client","raddr":"172.26.38.18:5570","mhdr":"iBHb2","name":"Base24-POS4-20"},"plugin": {"file":"slb_plugin_rm_biciso.so","type":"RM"}},</v>
      </c>
    </row>
    <row r="492" spans="1:18">
      <c r="A492" s="63"/>
      <c r="B492" s="2" t="s">
        <v>1371</v>
      </c>
      <c r="C492" s="2" t="s">
        <v>497</v>
      </c>
      <c r="D492" s="6">
        <v>3</v>
      </c>
      <c r="E492" s="6">
        <v>10171</v>
      </c>
      <c r="F492" s="6" t="s">
        <v>14</v>
      </c>
      <c r="G492" s="8"/>
      <c r="H492" s="6" t="s">
        <v>437</v>
      </c>
      <c r="I492" s="8" t="s">
        <v>389</v>
      </c>
      <c r="J492" s="6">
        <v>5571</v>
      </c>
      <c r="K492" s="33" t="s">
        <v>437</v>
      </c>
      <c r="L492" s="33" t="str">
        <f t="shared" si="89"/>
        <v>172.29.12.69</v>
      </c>
      <c r="M492" s="33" t="str">
        <f t="shared" si="91"/>
        <v>35571</v>
      </c>
      <c r="N492" s="33" t="str">
        <f t="shared" si="90"/>
        <v>172.29.12.68</v>
      </c>
      <c r="O492" s="33">
        <f t="shared" si="92"/>
        <v>45571</v>
      </c>
      <c r="P492" s="33" t="s">
        <v>94</v>
      </c>
      <c r="Q492" s="34" t="s">
        <v>95</v>
      </c>
      <c r="R492" s="3" t="str">
        <f t="shared" si="85"/>
        <v>"3":{"type":"con","dst_persist":"n","src":{"35571":{"raddr":"172.29.12.69:0","mhdr":"iBHb2","name":"NODO-01"},"45571":{"raddr":"172.29.12.68:0","mhdr":"iBHb2","name":"NODO-02"}},"dst":{"mode":"client","raddr":"172.26.38.18:5571","mhdr":"iBHb2","name":"Base24-POS4-21"},"plugin": {"file":"slb_plugin_rm_biciso.so","type":"RM"}},</v>
      </c>
    </row>
    <row r="493" spans="1:18">
      <c r="A493" s="63"/>
      <c r="B493" s="2" t="s">
        <v>1372</v>
      </c>
      <c r="C493" s="2" t="s">
        <v>497</v>
      </c>
      <c r="D493" s="6">
        <v>4</v>
      </c>
      <c r="E493" s="6">
        <v>10172</v>
      </c>
      <c r="F493" s="6" t="s">
        <v>14</v>
      </c>
      <c r="G493" s="8"/>
      <c r="H493" s="6" t="s">
        <v>437</v>
      </c>
      <c r="I493" s="8" t="s">
        <v>389</v>
      </c>
      <c r="J493" s="6">
        <v>5572</v>
      </c>
      <c r="K493" s="33" t="s">
        <v>437</v>
      </c>
      <c r="L493" s="33" t="str">
        <f t="shared" si="89"/>
        <v>172.29.12.69</v>
      </c>
      <c r="M493" s="33" t="str">
        <f t="shared" si="91"/>
        <v>35572</v>
      </c>
      <c r="N493" s="33" t="str">
        <f t="shared" si="90"/>
        <v>172.29.12.68</v>
      </c>
      <c r="O493" s="33">
        <f t="shared" si="92"/>
        <v>45572</v>
      </c>
      <c r="P493" s="33" t="s">
        <v>94</v>
      </c>
      <c r="Q493" s="34" t="s">
        <v>95</v>
      </c>
      <c r="R493" s="3" t="str">
        <f t="shared" si="85"/>
        <v>"4":{"type":"con","dst_persist":"n","src":{"35572":{"raddr":"172.29.12.69:0","mhdr":"iBHb2","name":"NODO-01"},"45572":{"raddr":"172.29.12.68:0","mhdr":"iBHb2","name":"NODO-02"}},"dst":{"mode":"client","raddr":"172.26.38.18:5572","mhdr":"iBHb2","name":"Base24-POS4-22"},"plugin": {"file":"slb_plugin_rm_biciso.so","type":"RM"}},</v>
      </c>
    </row>
    <row r="494" spans="1:18">
      <c r="A494" s="63"/>
      <c r="B494" s="2" t="s">
        <v>1373</v>
      </c>
      <c r="C494" s="2" t="s">
        <v>497</v>
      </c>
      <c r="D494" s="6">
        <v>5</v>
      </c>
      <c r="E494" s="6">
        <v>10173</v>
      </c>
      <c r="F494" s="6" t="s">
        <v>14</v>
      </c>
      <c r="G494" s="8"/>
      <c r="H494" s="6" t="s">
        <v>437</v>
      </c>
      <c r="I494" s="8" t="s">
        <v>389</v>
      </c>
      <c r="J494" s="6">
        <v>5573</v>
      </c>
      <c r="K494" s="33" t="s">
        <v>437</v>
      </c>
      <c r="L494" s="33" t="str">
        <f t="shared" si="89"/>
        <v>172.29.12.69</v>
      </c>
      <c r="M494" s="33" t="str">
        <f t="shared" si="91"/>
        <v>35573</v>
      </c>
      <c r="N494" s="33" t="str">
        <f t="shared" si="90"/>
        <v>172.29.12.68</v>
      </c>
      <c r="O494" s="33">
        <f t="shared" si="92"/>
        <v>45573</v>
      </c>
      <c r="P494" s="33" t="s">
        <v>94</v>
      </c>
      <c r="Q494" s="34" t="s">
        <v>95</v>
      </c>
      <c r="R494" s="3" t="str">
        <f t="shared" si="85"/>
        <v>"5":{"type":"con","dst_persist":"n","src":{"35573":{"raddr":"172.29.12.69:0","mhdr":"iBHb2","name":"NODO-01"},"45573":{"raddr":"172.29.12.68:0","mhdr":"iBHb2","name":"NODO-02"}},"dst":{"mode":"client","raddr":"172.26.38.18:5573","mhdr":"iBHb2","name":"Base24-POS4-23"},"plugin": {"file":"slb_plugin_rm_biciso.so","type":"RM"}},</v>
      </c>
    </row>
    <row r="495" spans="1:18" ht="15" thickBot="1">
      <c r="A495" s="64"/>
      <c r="B495" s="14" t="s">
        <v>1374</v>
      </c>
      <c r="C495" s="14" t="s">
        <v>497</v>
      </c>
      <c r="D495" s="15">
        <v>6</v>
      </c>
      <c r="E495" s="15">
        <v>10174</v>
      </c>
      <c r="F495" s="15" t="s">
        <v>14</v>
      </c>
      <c r="G495" s="17"/>
      <c r="H495" s="15" t="s">
        <v>437</v>
      </c>
      <c r="I495" s="17" t="s">
        <v>389</v>
      </c>
      <c r="J495" s="15">
        <v>5574</v>
      </c>
      <c r="K495" s="35" t="s">
        <v>437</v>
      </c>
      <c r="L495" s="35" t="str">
        <f t="shared" si="89"/>
        <v>172.29.12.69</v>
      </c>
      <c r="M495" s="35" t="str">
        <f t="shared" si="91"/>
        <v>35574</v>
      </c>
      <c r="N495" s="35" t="str">
        <f t="shared" si="90"/>
        <v>172.29.12.68</v>
      </c>
      <c r="O495" s="35">
        <f t="shared" si="92"/>
        <v>45574</v>
      </c>
      <c r="P495" s="35" t="s">
        <v>94</v>
      </c>
      <c r="Q495" s="36" t="s">
        <v>96</v>
      </c>
      <c r="R495" s="3" t="str">
        <f t="shared" si="85"/>
        <v>"6":{"type":"con","dst_persist":"n","src":{"35574":{"raddr":"172.29.12.69:0","mhdr":"iBHb2","name":"NODO-01"},"45574":{"raddr":"172.29.12.68:0","mhdr":"iBHb2","name":"NODO-02"}},"dst":{"mode":"client","raddr":"172.26.38.18:5574","mhdr":"iBHb2","name":"Base24-POS4-24"},"plugin": {"file":"slb_plugin_rm_biciso.so","type":"RM"}}}},</v>
      </c>
    </row>
    <row r="496" spans="1:18">
      <c r="A496" s="92">
        <v>32</v>
      </c>
      <c r="B496" s="10" t="s">
        <v>1375</v>
      </c>
      <c r="C496" s="10" t="s">
        <v>497</v>
      </c>
      <c r="D496" s="11">
        <v>1</v>
      </c>
      <c r="E496" s="11">
        <v>10175</v>
      </c>
      <c r="F496" s="11" t="s">
        <v>14</v>
      </c>
      <c r="G496" s="29"/>
      <c r="H496" s="11" t="s">
        <v>437</v>
      </c>
      <c r="I496" s="29" t="s">
        <v>389</v>
      </c>
      <c r="J496" s="11">
        <v>5575</v>
      </c>
      <c r="K496" s="32" t="s">
        <v>437</v>
      </c>
      <c r="L496" s="32" t="str">
        <f t="shared" si="89"/>
        <v>172.29.12.69</v>
      </c>
      <c r="M496" s="32" t="str">
        <f t="shared" si="91"/>
        <v>35575</v>
      </c>
      <c r="N496" s="32" t="str">
        <f t="shared" si="90"/>
        <v>172.29.12.68</v>
      </c>
      <c r="O496" s="32">
        <f t="shared" si="92"/>
        <v>45575</v>
      </c>
      <c r="P496" s="32" t="s">
        <v>94</v>
      </c>
      <c r="Q496" s="49" t="s">
        <v>95</v>
      </c>
      <c r="R496" s="3" t="str">
        <f t="shared" si="85"/>
        <v>"32":{"rules":{"1":{"type":"con","dst_persist":"n","src":{"35575":{"raddr":"172.29.12.69:0","mhdr":"iBHb2","name":"NODO-01"},"45575":{"raddr":"172.29.12.68:0","mhdr":"iBHb2","name":"NODO-02"}},"dst":{"mode":"client","raddr":"172.26.38.18:5575","mhdr":"iBHb2","name":"Base24-POS5-25"},"plugin": {"file":"slb_plugin_rm_biciso.so","type":"RM"}},</v>
      </c>
    </row>
    <row r="497" spans="1:18">
      <c r="A497" s="63"/>
      <c r="B497" s="2" t="s">
        <v>1376</v>
      </c>
      <c r="C497" s="2" t="s">
        <v>497</v>
      </c>
      <c r="D497" s="6">
        <v>2</v>
      </c>
      <c r="E497" s="6">
        <v>10176</v>
      </c>
      <c r="F497" s="6" t="s">
        <v>14</v>
      </c>
      <c r="G497" s="8"/>
      <c r="H497" s="6" t="s">
        <v>437</v>
      </c>
      <c r="I497" s="8" t="s">
        <v>389</v>
      </c>
      <c r="J497" s="6">
        <v>5576</v>
      </c>
      <c r="K497" s="33" t="s">
        <v>437</v>
      </c>
      <c r="L497" s="33" t="str">
        <f t="shared" si="89"/>
        <v>172.29.12.69</v>
      </c>
      <c r="M497" s="33" t="str">
        <f t="shared" si="91"/>
        <v>35576</v>
      </c>
      <c r="N497" s="33" t="str">
        <f t="shared" si="90"/>
        <v>172.29.12.68</v>
      </c>
      <c r="O497" s="33">
        <f t="shared" si="92"/>
        <v>45576</v>
      </c>
      <c r="P497" s="33" t="s">
        <v>94</v>
      </c>
      <c r="Q497" s="34" t="s">
        <v>95</v>
      </c>
      <c r="R497" s="3" t="str">
        <f t="shared" si="85"/>
        <v>"2":{"type":"con","dst_persist":"n","src":{"35576":{"raddr":"172.29.12.69:0","mhdr":"iBHb2","name":"NODO-01"},"45576":{"raddr":"172.29.12.68:0","mhdr":"iBHb2","name":"NODO-02"}},"dst":{"mode":"client","raddr":"172.26.38.18:5576","mhdr":"iBHb2","name":"Base24-POS5-26"},"plugin": {"file":"slb_plugin_rm_biciso.so","type":"RM"}},</v>
      </c>
    </row>
    <row r="498" spans="1:18">
      <c r="A498" s="63"/>
      <c r="B498" s="2" t="s">
        <v>1377</v>
      </c>
      <c r="C498" s="2" t="s">
        <v>497</v>
      </c>
      <c r="D498" s="6">
        <v>3</v>
      </c>
      <c r="E498" s="6">
        <v>10177</v>
      </c>
      <c r="F498" s="6" t="s">
        <v>14</v>
      </c>
      <c r="G498" s="8"/>
      <c r="H498" s="6" t="s">
        <v>437</v>
      </c>
      <c r="I498" s="8" t="s">
        <v>389</v>
      </c>
      <c r="J498" s="6">
        <v>5577</v>
      </c>
      <c r="K498" s="33" t="s">
        <v>437</v>
      </c>
      <c r="L498" s="33" t="str">
        <f t="shared" si="89"/>
        <v>172.29.12.69</v>
      </c>
      <c r="M498" s="33" t="str">
        <f t="shared" si="91"/>
        <v>35577</v>
      </c>
      <c r="N498" s="33" t="str">
        <f t="shared" si="90"/>
        <v>172.29.12.68</v>
      </c>
      <c r="O498" s="33">
        <f t="shared" si="92"/>
        <v>45577</v>
      </c>
      <c r="P498" s="33" t="s">
        <v>94</v>
      </c>
      <c r="Q498" s="34" t="s">
        <v>95</v>
      </c>
      <c r="R498" s="3" t="str">
        <f t="shared" si="85"/>
        <v>"3":{"type":"con","dst_persist":"n","src":{"35577":{"raddr":"172.29.12.69:0","mhdr":"iBHb2","name":"NODO-01"},"45577":{"raddr":"172.29.12.68:0","mhdr":"iBHb2","name":"NODO-02"}},"dst":{"mode":"client","raddr":"172.26.38.18:5577","mhdr":"iBHb2","name":"Base24-POS5-27"},"plugin": {"file":"slb_plugin_rm_biciso.so","type":"RM"}},</v>
      </c>
    </row>
    <row r="499" spans="1:18">
      <c r="A499" s="63"/>
      <c r="B499" s="2" t="s">
        <v>1378</v>
      </c>
      <c r="C499" s="2" t="s">
        <v>497</v>
      </c>
      <c r="D499" s="6">
        <v>4</v>
      </c>
      <c r="E499" s="6">
        <v>10178</v>
      </c>
      <c r="F499" s="6" t="s">
        <v>14</v>
      </c>
      <c r="G499" s="8"/>
      <c r="H499" s="6" t="s">
        <v>437</v>
      </c>
      <c r="I499" s="8" t="s">
        <v>389</v>
      </c>
      <c r="J499" s="6">
        <v>5578</v>
      </c>
      <c r="K499" s="33" t="s">
        <v>437</v>
      </c>
      <c r="L499" s="33" t="str">
        <f t="shared" si="89"/>
        <v>172.29.12.69</v>
      </c>
      <c r="M499" s="33" t="str">
        <f t="shared" si="91"/>
        <v>35578</v>
      </c>
      <c r="N499" s="33" t="str">
        <f t="shared" si="90"/>
        <v>172.29.12.68</v>
      </c>
      <c r="O499" s="33">
        <f t="shared" si="92"/>
        <v>45578</v>
      </c>
      <c r="P499" s="33" t="s">
        <v>94</v>
      </c>
      <c r="Q499" s="34" t="s">
        <v>95</v>
      </c>
      <c r="R499" s="3" t="str">
        <f t="shared" si="85"/>
        <v>"4":{"type":"con","dst_persist":"n","src":{"35578":{"raddr":"172.29.12.69:0","mhdr":"iBHb2","name":"NODO-01"},"45578":{"raddr":"172.29.12.68:0","mhdr":"iBHb2","name":"NODO-02"}},"dst":{"mode":"client","raddr":"172.26.38.18:5578","mhdr":"iBHb2","name":"Base24-POS5-28"},"plugin": {"file":"slb_plugin_rm_biciso.so","type":"RM"}},</v>
      </c>
    </row>
    <row r="500" spans="1:18">
      <c r="A500" s="63"/>
      <c r="B500" s="2" t="s">
        <v>1379</v>
      </c>
      <c r="C500" s="2" t="s">
        <v>497</v>
      </c>
      <c r="D500" s="6">
        <v>5</v>
      </c>
      <c r="E500" s="6">
        <v>10179</v>
      </c>
      <c r="F500" s="6" t="s">
        <v>14</v>
      </c>
      <c r="G500" s="8"/>
      <c r="H500" s="6" t="s">
        <v>437</v>
      </c>
      <c r="I500" s="8" t="s">
        <v>389</v>
      </c>
      <c r="J500" s="6">
        <v>5579</v>
      </c>
      <c r="K500" s="33" t="s">
        <v>437</v>
      </c>
      <c r="L500" s="33" t="str">
        <f t="shared" si="89"/>
        <v>172.29.12.69</v>
      </c>
      <c r="M500" s="33" t="str">
        <f t="shared" si="91"/>
        <v>35579</v>
      </c>
      <c r="N500" s="33" t="str">
        <f t="shared" si="90"/>
        <v>172.29.12.68</v>
      </c>
      <c r="O500" s="33">
        <f t="shared" si="92"/>
        <v>45579</v>
      </c>
      <c r="P500" s="33" t="s">
        <v>94</v>
      </c>
      <c r="Q500" s="34" t="s">
        <v>95</v>
      </c>
      <c r="R500" s="3" t="str">
        <f t="shared" si="85"/>
        <v>"5":{"type":"con","dst_persist":"n","src":{"35579":{"raddr":"172.29.12.69:0","mhdr":"iBHb2","name":"NODO-01"},"45579":{"raddr":"172.29.12.68:0","mhdr":"iBHb2","name":"NODO-02"}},"dst":{"mode":"client","raddr":"172.26.38.18:5579","mhdr":"iBHb2","name":"Base24-POS5-29"},"plugin": {"file":"slb_plugin_rm_biciso.so","type":"RM"}},</v>
      </c>
    </row>
    <row r="501" spans="1:18" ht="15" thickBot="1">
      <c r="A501" s="64"/>
      <c r="B501" s="14" t="s">
        <v>1380</v>
      </c>
      <c r="C501" s="14" t="s">
        <v>497</v>
      </c>
      <c r="D501" s="15">
        <v>6</v>
      </c>
      <c r="E501" s="15">
        <v>10180</v>
      </c>
      <c r="F501" s="15" t="s">
        <v>14</v>
      </c>
      <c r="G501" s="17"/>
      <c r="H501" s="15" t="s">
        <v>437</v>
      </c>
      <c r="I501" s="17" t="s">
        <v>389</v>
      </c>
      <c r="J501" s="15">
        <v>5580</v>
      </c>
      <c r="K501" s="35" t="s">
        <v>437</v>
      </c>
      <c r="L501" s="35" t="str">
        <f t="shared" si="89"/>
        <v>172.29.12.69</v>
      </c>
      <c r="M501" s="35" t="str">
        <f t="shared" si="91"/>
        <v>35580</v>
      </c>
      <c r="N501" s="35" t="str">
        <f t="shared" si="90"/>
        <v>172.29.12.68</v>
      </c>
      <c r="O501" s="35">
        <f t="shared" si="92"/>
        <v>45580</v>
      </c>
      <c r="P501" s="35" t="s">
        <v>94</v>
      </c>
      <c r="Q501" s="36" t="s">
        <v>96</v>
      </c>
      <c r="R501" s="3" t="str">
        <f t="shared" si="85"/>
        <v>"6":{"type":"con","dst_persist":"n","src":{"35580":{"raddr":"172.29.12.69:0","mhdr":"iBHb2","name":"NODO-01"},"45580":{"raddr":"172.29.12.68:0","mhdr":"iBHb2","name":"NODO-02"}},"dst":{"mode":"client","raddr":"172.26.38.18:5580","mhdr":"iBHb2","name":"Base24-POS5-30"},"plugin": {"file":"slb_plugin_rm_biciso.so","type":"RM"}}}},</v>
      </c>
    </row>
    <row r="502" spans="1:18">
      <c r="A502" s="92">
        <v>33</v>
      </c>
      <c r="B502" s="10" t="s">
        <v>1381</v>
      </c>
      <c r="C502" s="10" t="s">
        <v>497</v>
      </c>
      <c r="D502" s="11">
        <v>1</v>
      </c>
      <c r="E502" s="11">
        <v>10181</v>
      </c>
      <c r="F502" s="11" t="s">
        <v>14</v>
      </c>
      <c r="G502" s="29"/>
      <c r="H502" s="11" t="s">
        <v>437</v>
      </c>
      <c r="I502" s="29" t="s">
        <v>389</v>
      </c>
      <c r="J502" s="11">
        <v>5581</v>
      </c>
      <c r="K502" s="32" t="s">
        <v>437</v>
      </c>
      <c r="L502" s="32" t="str">
        <f t="shared" si="89"/>
        <v>172.29.12.69</v>
      </c>
      <c r="M502" s="32" t="str">
        <f t="shared" si="91"/>
        <v>35581</v>
      </c>
      <c r="N502" s="32" t="str">
        <f t="shared" si="90"/>
        <v>172.29.12.68</v>
      </c>
      <c r="O502" s="32">
        <f t="shared" si="92"/>
        <v>45581</v>
      </c>
      <c r="P502" s="32" t="s">
        <v>94</v>
      </c>
      <c r="Q502" s="49" t="s">
        <v>95</v>
      </c>
      <c r="R502" s="3" t="str">
        <f t="shared" si="85"/>
        <v>"33":{"rules":{"1":{"type":"con","dst_persist":"n","src":{"35581":{"raddr":"172.29.12.69:0","mhdr":"iBHb2","name":"NODO-01"},"45581":{"raddr":"172.29.12.68:0","mhdr":"iBHb2","name":"NODO-02"}},"dst":{"mode":"client","raddr":"172.26.38.18:5581","mhdr":"iBHb2","name":"Base24-POS6-31"},"plugin": {"file":"slb_plugin_rm_biciso.so","type":"RM"}},</v>
      </c>
    </row>
    <row r="503" spans="1:18">
      <c r="A503" s="63"/>
      <c r="B503" s="2" t="s">
        <v>1382</v>
      </c>
      <c r="C503" s="2" t="s">
        <v>497</v>
      </c>
      <c r="D503" s="6">
        <v>2</v>
      </c>
      <c r="E503" s="6">
        <v>10182</v>
      </c>
      <c r="F503" s="6" t="s">
        <v>14</v>
      </c>
      <c r="G503" s="8"/>
      <c r="H503" s="6" t="s">
        <v>437</v>
      </c>
      <c r="I503" s="8" t="s">
        <v>389</v>
      </c>
      <c r="J503" s="6">
        <v>5582</v>
      </c>
      <c r="K503" s="33" t="s">
        <v>437</v>
      </c>
      <c r="L503" s="33" t="str">
        <f t="shared" si="89"/>
        <v>172.29.12.69</v>
      </c>
      <c r="M503" s="33" t="str">
        <f t="shared" si="91"/>
        <v>35582</v>
      </c>
      <c r="N503" s="33" t="str">
        <f t="shared" si="90"/>
        <v>172.29.12.68</v>
      </c>
      <c r="O503" s="33">
        <f t="shared" si="92"/>
        <v>45582</v>
      </c>
      <c r="P503" s="33" t="s">
        <v>94</v>
      </c>
      <c r="Q503" s="34" t="s">
        <v>95</v>
      </c>
      <c r="R503" s="3" t="str">
        <f t="shared" si="85"/>
        <v>"2":{"type":"con","dst_persist":"n","src":{"35582":{"raddr":"172.29.12.69:0","mhdr":"iBHb2","name":"NODO-01"},"45582":{"raddr":"172.29.12.68:0","mhdr":"iBHb2","name":"NODO-02"}},"dst":{"mode":"client","raddr":"172.26.38.18:5582","mhdr":"iBHb2","name":"Base24-POS6-32"},"plugin": {"file":"slb_plugin_rm_biciso.so","type":"RM"}},</v>
      </c>
    </row>
    <row r="504" spans="1:18">
      <c r="A504" s="63"/>
      <c r="B504" s="2" t="s">
        <v>1383</v>
      </c>
      <c r="C504" s="2" t="s">
        <v>497</v>
      </c>
      <c r="D504" s="6">
        <v>3</v>
      </c>
      <c r="E504" s="6">
        <v>10183</v>
      </c>
      <c r="F504" s="6" t="s">
        <v>14</v>
      </c>
      <c r="G504" s="8"/>
      <c r="H504" s="6" t="s">
        <v>437</v>
      </c>
      <c r="I504" s="8" t="s">
        <v>389</v>
      </c>
      <c r="J504" s="6">
        <v>5583</v>
      </c>
      <c r="K504" s="33" t="s">
        <v>437</v>
      </c>
      <c r="L504" s="33" t="str">
        <f t="shared" si="89"/>
        <v>172.29.12.69</v>
      </c>
      <c r="M504" s="33" t="str">
        <f t="shared" si="91"/>
        <v>35583</v>
      </c>
      <c r="N504" s="33" t="str">
        <f t="shared" si="90"/>
        <v>172.29.12.68</v>
      </c>
      <c r="O504" s="33">
        <f t="shared" si="92"/>
        <v>45583</v>
      </c>
      <c r="P504" s="33" t="s">
        <v>94</v>
      </c>
      <c r="Q504" s="34" t="s">
        <v>95</v>
      </c>
      <c r="R504" s="3" t="str">
        <f t="shared" si="85"/>
        <v>"3":{"type":"con","dst_persist":"n","src":{"35583":{"raddr":"172.29.12.69:0","mhdr":"iBHb2","name":"NODO-01"},"45583":{"raddr":"172.29.12.68:0","mhdr":"iBHb2","name":"NODO-02"}},"dst":{"mode":"client","raddr":"172.26.38.18:5583","mhdr":"iBHb2","name":"Base24-POS6-33"},"plugin": {"file":"slb_plugin_rm_biciso.so","type":"RM"}},</v>
      </c>
    </row>
    <row r="505" spans="1:18">
      <c r="A505" s="63"/>
      <c r="B505" s="2" t="s">
        <v>1384</v>
      </c>
      <c r="C505" s="2" t="s">
        <v>497</v>
      </c>
      <c r="D505" s="6">
        <v>4</v>
      </c>
      <c r="E505" s="6">
        <v>10184</v>
      </c>
      <c r="F505" s="6" t="s">
        <v>14</v>
      </c>
      <c r="G505" s="8"/>
      <c r="H505" s="6" t="s">
        <v>437</v>
      </c>
      <c r="I505" s="8" t="s">
        <v>389</v>
      </c>
      <c r="J505" s="6">
        <v>5584</v>
      </c>
      <c r="K505" s="33" t="s">
        <v>437</v>
      </c>
      <c r="L505" s="33" t="str">
        <f t="shared" si="89"/>
        <v>172.29.12.69</v>
      </c>
      <c r="M505" s="33" t="str">
        <f t="shared" si="91"/>
        <v>35584</v>
      </c>
      <c r="N505" s="33" t="str">
        <f t="shared" si="90"/>
        <v>172.29.12.68</v>
      </c>
      <c r="O505" s="33">
        <f t="shared" si="92"/>
        <v>45584</v>
      </c>
      <c r="P505" s="33" t="s">
        <v>94</v>
      </c>
      <c r="Q505" s="34" t="s">
        <v>95</v>
      </c>
      <c r="R505" s="3" t="str">
        <f t="shared" si="85"/>
        <v>"4":{"type":"con","dst_persist":"n","src":{"35584":{"raddr":"172.29.12.69:0","mhdr":"iBHb2","name":"NODO-01"},"45584":{"raddr":"172.29.12.68:0","mhdr":"iBHb2","name":"NODO-02"}},"dst":{"mode":"client","raddr":"172.26.38.18:5584","mhdr":"iBHb2","name":"Base24-POS6-34"},"plugin": {"file":"slb_plugin_rm_biciso.so","type":"RM"}},</v>
      </c>
    </row>
    <row r="506" spans="1:18">
      <c r="A506" s="63"/>
      <c r="B506" s="2" t="s">
        <v>1385</v>
      </c>
      <c r="C506" s="2" t="s">
        <v>497</v>
      </c>
      <c r="D506" s="6">
        <v>5</v>
      </c>
      <c r="E506" s="6">
        <v>10185</v>
      </c>
      <c r="F506" s="6" t="s">
        <v>14</v>
      </c>
      <c r="G506" s="8"/>
      <c r="H506" s="6" t="s">
        <v>437</v>
      </c>
      <c r="I506" s="8" t="s">
        <v>389</v>
      </c>
      <c r="J506" s="6">
        <v>5585</v>
      </c>
      <c r="K506" s="33" t="s">
        <v>437</v>
      </c>
      <c r="L506" s="33" t="str">
        <f t="shared" si="89"/>
        <v>172.29.12.69</v>
      </c>
      <c r="M506" s="33" t="str">
        <f t="shared" si="91"/>
        <v>35585</v>
      </c>
      <c r="N506" s="33" t="str">
        <f t="shared" si="90"/>
        <v>172.29.12.68</v>
      </c>
      <c r="O506" s="33">
        <f t="shared" si="92"/>
        <v>45585</v>
      </c>
      <c r="P506" s="33" t="s">
        <v>94</v>
      </c>
      <c r="Q506" s="34" t="s">
        <v>95</v>
      </c>
      <c r="R506" s="3" t="str">
        <f t="shared" si="85"/>
        <v>"5":{"type":"con","dst_persist":"n","src":{"35585":{"raddr":"172.29.12.69:0","mhdr":"iBHb2","name":"NODO-01"},"45585":{"raddr":"172.29.12.68:0","mhdr":"iBHb2","name":"NODO-02"}},"dst":{"mode":"client","raddr":"172.26.38.18:5585","mhdr":"iBHb2","name":"Base24-POS6-35"},"plugin": {"file":"slb_plugin_rm_biciso.so","type":"RM"}},</v>
      </c>
    </row>
    <row r="507" spans="1:18" ht="15" thickBot="1">
      <c r="A507" s="64"/>
      <c r="B507" s="14" t="s">
        <v>1386</v>
      </c>
      <c r="C507" s="14" t="s">
        <v>497</v>
      </c>
      <c r="D507" s="15">
        <v>6</v>
      </c>
      <c r="E507" s="15">
        <v>10186</v>
      </c>
      <c r="F507" s="15" t="s">
        <v>14</v>
      </c>
      <c r="G507" s="17"/>
      <c r="H507" s="15" t="s">
        <v>437</v>
      </c>
      <c r="I507" s="17" t="s">
        <v>389</v>
      </c>
      <c r="J507" s="15">
        <v>5586</v>
      </c>
      <c r="K507" s="35" t="s">
        <v>437</v>
      </c>
      <c r="L507" s="35" t="str">
        <f t="shared" si="89"/>
        <v>172.29.12.69</v>
      </c>
      <c r="M507" s="35" t="str">
        <f t="shared" si="91"/>
        <v>35586</v>
      </c>
      <c r="N507" s="33" t="str">
        <f t="shared" si="90"/>
        <v>172.29.12.68</v>
      </c>
      <c r="O507" s="35">
        <f t="shared" si="92"/>
        <v>45586</v>
      </c>
      <c r="P507" s="35" t="s">
        <v>94</v>
      </c>
      <c r="Q507" s="36" t="s">
        <v>96</v>
      </c>
      <c r="R507" s="3" t="str">
        <f t="shared" si="85"/>
        <v>"6":{"type":"con","dst_persist":"n","src":{"35586":{"raddr":"172.29.12.69:0","mhdr":"iBHb2","name":"NODO-01"},"45586":{"raddr":"172.29.12.68:0","mhdr":"iBHb2","name":"NODO-02"}},"dst":{"mode":"client","raddr":"172.26.38.18:5586","mhdr":"iBHb2","name":"Base24-POS6-36"},"plugin": {"file":"slb_plugin_rm_biciso.so","type":"RM"}}}},</v>
      </c>
    </row>
    <row r="508" spans="1:18" ht="15" thickBot="1">
      <c r="A508" s="92">
        <v>34</v>
      </c>
      <c r="B508" s="23" t="s">
        <v>444</v>
      </c>
      <c r="C508" s="10" t="s">
        <v>497</v>
      </c>
      <c r="D508" s="29">
        <v>1</v>
      </c>
      <c r="E508" s="93" t="s">
        <v>1263</v>
      </c>
      <c r="F508" s="29" t="s">
        <v>8</v>
      </c>
      <c r="G508" s="29" t="s">
        <v>1250</v>
      </c>
      <c r="H508" s="29" t="s">
        <v>55</v>
      </c>
      <c r="I508" s="29"/>
      <c r="J508" s="29">
        <v>8810</v>
      </c>
      <c r="K508" s="32" t="s">
        <v>55</v>
      </c>
      <c r="L508" s="35" t="str">
        <f t="shared" ref="L508:L511" si="93">+$B$359</f>
        <v>172.29.12.71</v>
      </c>
      <c r="M508" s="32">
        <v>38810</v>
      </c>
      <c r="N508" s="35" t="str">
        <f t="shared" ref="N508:N511" si="94">+$B$360</f>
        <v>172.29.12.72</v>
      </c>
      <c r="O508" s="35">
        <f t="shared" ref="O508:O509" si="95">+M508+10000</f>
        <v>48810</v>
      </c>
      <c r="P508" s="32" t="s">
        <v>94</v>
      </c>
      <c r="Q508" s="49" t="s">
        <v>95</v>
      </c>
      <c r="R508" s="3" t="str">
        <f t="shared" si="85"/>
        <v>"34":{"rules":{"1":{"type":"con","dst_persist":"n","src":{"38810":{"raddr":"172.29.12.71:0","mhdr":"BHb2","name":"NODO-01"},"48810":{"raddr":"172.29.12.72:0","mhdr":"BHb2","name":"NODO-02"}},"dst":{"mode":"server","raddr":"10.107.32.24:0","lport":"8810 BHb2","name":"ETEK_01"},"plugin": {"file":"slb_plugin_rm_biciso.so","type":"RM"}},</v>
      </c>
    </row>
    <row r="509" spans="1:18" ht="15" thickBot="1">
      <c r="A509" s="63"/>
      <c r="B509" s="7" t="s">
        <v>445</v>
      </c>
      <c r="C509" s="2" t="s">
        <v>497</v>
      </c>
      <c r="D509" s="8">
        <v>2</v>
      </c>
      <c r="E509" s="43" t="s">
        <v>1264</v>
      </c>
      <c r="F509" s="8" t="s">
        <v>8</v>
      </c>
      <c r="G509" s="8" t="s">
        <v>1250</v>
      </c>
      <c r="H509" s="8" t="s">
        <v>55</v>
      </c>
      <c r="I509" s="8"/>
      <c r="J509" s="8">
        <v>8811</v>
      </c>
      <c r="K509" s="33" t="s">
        <v>55</v>
      </c>
      <c r="L509" s="35" t="str">
        <f t="shared" si="93"/>
        <v>172.29.12.71</v>
      </c>
      <c r="M509" s="33">
        <v>38811</v>
      </c>
      <c r="N509" s="35" t="str">
        <f t="shared" si="94"/>
        <v>172.29.12.72</v>
      </c>
      <c r="O509" s="35">
        <f t="shared" si="95"/>
        <v>48811</v>
      </c>
      <c r="P509" s="32" t="s">
        <v>94</v>
      </c>
      <c r="Q509" s="34" t="s">
        <v>95</v>
      </c>
      <c r="R509" s="3" t="str">
        <f t="shared" si="85"/>
        <v>"2":{"type":"con","dst_persist":"n","src":{"38811":{"raddr":"172.29.12.71:0","mhdr":"BHb2","name":"NODO-01"},"48811":{"raddr":"172.29.12.72:0","mhdr":"BHb2","name":"NODO-02"}},"dst":{"mode":"server","raddr":"10.107.32.24:0","lport":"8811 BHb2","name":"ETEK_02"},"plugin": {"file":"slb_plugin_rm_biciso.so","type":"RM"}},</v>
      </c>
    </row>
    <row r="510" spans="1:18" ht="15" thickBot="1">
      <c r="A510" s="63"/>
      <c r="B510" s="7" t="s">
        <v>442</v>
      </c>
      <c r="C510" s="2" t="s">
        <v>497</v>
      </c>
      <c r="D510" s="8">
        <v>3</v>
      </c>
      <c r="E510" s="43" t="s">
        <v>1265</v>
      </c>
      <c r="F510" s="8" t="s">
        <v>14</v>
      </c>
      <c r="G510" s="8"/>
      <c r="H510" s="8" t="s">
        <v>55</v>
      </c>
      <c r="I510" s="8" t="s">
        <v>389</v>
      </c>
      <c r="J510" s="8">
        <v>8810</v>
      </c>
      <c r="K510" s="33" t="s">
        <v>55</v>
      </c>
      <c r="L510" s="35" t="str">
        <f t="shared" si="93"/>
        <v>172.29.12.71</v>
      </c>
      <c r="M510" s="33">
        <v>58810</v>
      </c>
      <c r="N510" s="35" t="str">
        <f t="shared" si="94"/>
        <v>172.29.12.72</v>
      </c>
      <c r="O510" s="33">
        <f>+M510-30000</f>
        <v>28810</v>
      </c>
      <c r="P510" s="32" t="s">
        <v>94</v>
      </c>
      <c r="Q510" s="34" t="s">
        <v>95</v>
      </c>
      <c r="R510" s="3" t="str">
        <f t="shared" si="85"/>
        <v>"3":{"type":"con","dst_persist":"n","src":{"58810":{"raddr":"172.29.12.71:0","mhdr":"BHb2","name":"NODO-01"},"28810":{"raddr":"172.29.12.72:0","mhdr":"BHb2","name":"NODO-02"}},"dst":{"mode":"client","raddr":"172.26.38.18:8810","mhdr":"BHb2","name":"ETEK B24_1"},"plugin": {"file":"slb_plugin_rm_biciso.so","type":"RM"}},</v>
      </c>
    </row>
    <row r="511" spans="1:18" ht="15" thickBot="1">
      <c r="A511" s="64"/>
      <c r="B511" s="16" t="s">
        <v>443</v>
      </c>
      <c r="C511" s="14" t="s">
        <v>497</v>
      </c>
      <c r="D511" s="17">
        <v>4</v>
      </c>
      <c r="E511" s="44" t="s">
        <v>1266</v>
      </c>
      <c r="F511" s="17" t="s">
        <v>14</v>
      </c>
      <c r="G511" s="17"/>
      <c r="H511" s="17" t="s">
        <v>55</v>
      </c>
      <c r="I511" s="17" t="s">
        <v>389</v>
      </c>
      <c r="J511" s="17">
        <v>8811</v>
      </c>
      <c r="K511" s="35" t="s">
        <v>55</v>
      </c>
      <c r="L511" s="35" t="str">
        <f t="shared" si="93"/>
        <v>172.29.12.71</v>
      </c>
      <c r="M511" s="35">
        <v>58811</v>
      </c>
      <c r="N511" s="35" t="str">
        <f t="shared" si="94"/>
        <v>172.29.12.72</v>
      </c>
      <c r="O511" s="33">
        <f>+M511-30000</f>
        <v>28811</v>
      </c>
      <c r="P511" s="32" t="s">
        <v>94</v>
      </c>
      <c r="Q511" s="36" t="s">
        <v>126</v>
      </c>
      <c r="R511" s="3" t="str">
        <f t="shared" si="85"/>
        <v>"4":{"type":"con","dst_persist":"n","src":{"58811":{"raddr":"172.29.12.71:0","mhdr":"BHb2","name":"NODO-01"},"28811":{"raddr":"172.29.12.72:0","mhdr":"BHb2","name":"NODO-02"}},"dst":{"mode":"client","raddr":"172.26.38.18:8811","mhdr":"BHb2","name":"ETEK B24_2"},"plugin": {"file":"slb_plugin_rm_biciso.so","type":"RM"}}}}</v>
      </c>
    </row>
    <row r="512" spans="1:18">
      <c r="A512" s="20"/>
      <c r="B512" s="21"/>
      <c r="C512" s="21"/>
      <c r="D512" s="21"/>
      <c r="E512" s="22"/>
      <c r="F512" s="21"/>
      <c r="K512" s="21"/>
      <c r="L512" s="21"/>
      <c r="M512" s="21"/>
      <c r="N512" s="21"/>
      <c r="O512" s="21"/>
      <c r="P512" s="21"/>
      <c r="Q512" s="21"/>
      <c r="R512" s="3" t="s">
        <v>0</v>
      </c>
    </row>
    <row r="514" spans="1:18">
      <c r="A514" s="20"/>
      <c r="B514" s="1" t="s">
        <v>1433</v>
      </c>
      <c r="C514" s="21"/>
      <c r="D514" s="21"/>
      <c r="E514" s="22"/>
      <c r="F514" s="21"/>
      <c r="K514" s="21"/>
      <c r="L514" s="21"/>
      <c r="M514" s="21"/>
      <c r="N514" s="21"/>
      <c r="O514" s="21"/>
      <c r="P514" s="21"/>
      <c r="Q514" s="21"/>
      <c r="R514" s="3"/>
    </row>
    <row r="515" spans="1:18">
      <c r="A515" s="1" t="s">
        <v>1</v>
      </c>
      <c r="B515" t="s">
        <v>46</v>
      </c>
    </row>
    <row r="516" spans="1:18">
      <c r="A516" s="1" t="s">
        <v>3</v>
      </c>
      <c r="B516" t="s">
        <v>47</v>
      </c>
      <c r="G516" t="s">
        <v>394</v>
      </c>
      <c r="R516" s="3"/>
    </row>
    <row r="517" spans="1:18" ht="15" thickBot="1">
      <c r="A517" s="1" t="s">
        <v>4</v>
      </c>
      <c r="B517" t="s">
        <v>48</v>
      </c>
      <c r="G517" t="s">
        <v>395</v>
      </c>
      <c r="R517" s="3"/>
    </row>
    <row r="518" spans="1:18" ht="44" thickBot="1">
      <c r="A518" s="24" t="s">
        <v>79</v>
      </c>
      <c r="B518" s="26" t="s">
        <v>9</v>
      </c>
      <c r="C518" s="26" t="s">
        <v>499</v>
      </c>
      <c r="D518" s="26" t="s">
        <v>7</v>
      </c>
      <c r="E518" s="26" t="s">
        <v>58</v>
      </c>
      <c r="F518" s="26" t="s">
        <v>27</v>
      </c>
      <c r="G518" s="26" t="s">
        <v>11</v>
      </c>
      <c r="H518" s="27" t="s">
        <v>61</v>
      </c>
      <c r="I518" s="26" t="s">
        <v>12</v>
      </c>
      <c r="J518" s="25" t="s">
        <v>15</v>
      </c>
      <c r="K518" s="31" t="s">
        <v>62</v>
      </c>
      <c r="L518" s="26" t="s">
        <v>23</v>
      </c>
      <c r="M518" s="26" t="s">
        <v>25</v>
      </c>
      <c r="N518" s="26" t="s">
        <v>24</v>
      </c>
      <c r="O518" s="26" t="s">
        <v>26</v>
      </c>
      <c r="P518" s="26" t="s">
        <v>93</v>
      </c>
      <c r="Q518" s="28" t="s">
        <v>54</v>
      </c>
      <c r="R518" s="3" t="str">
        <f>CONCATENATE("{""",B515,""":{""routers"":{")</f>
        <v>{"172.29.10.68":{"routers":{</v>
      </c>
    </row>
    <row r="519" spans="1:18" ht="15" thickBot="1">
      <c r="A519" s="47">
        <v>1</v>
      </c>
      <c r="B519" s="10" t="s">
        <v>10</v>
      </c>
      <c r="C519" s="10"/>
      <c r="D519" s="29">
        <v>1</v>
      </c>
      <c r="E519" s="29"/>
      <c r="F519" s="29" t="s">
        <v>8</v>
      </c>
      <c r="G519" s="11" t="s">
        <v>49</v>
      </c>
      <c r="H519" s="11" t="s">
        <v>55</v>
      </c>
      <c r="I519" s="29"/>
      <c r="J519" s="11">
        <v>6003</v>
      </c>
      <c r="K519" s="32" t="s">
        <v>55</v>
      </c>
      <c r="L519" s="32" t="str">
        <f>$B$516</f>
        <v>172.29.10.69</v>
      </c>
      <c r="M519" s="48">
        <v>30001</v>
      </c>
      <c r="N519" s="32" t="str">
        <f>$B$517</f>
        <v>172.29.10.70</v>
      </c>
      <c r="O519" s="48">
        <f>+M519+10000</f>
        <v>40001</v>
      </c>
      <c r="P519" s="32" t="s">
        <v>141</v>
      </c>
      <c r="Q519" s="49" t="s">
        <v>95</v>
      </c>
      <c r="R519" s="3" t="str">
        <f>CONCATENATE(IF(A519&lt;&gt;"",CONCATENATE("""",A519,"""",":{","""","rules","""",":{"),""),"""",D519,""":{""type"":""con"",""dst_persist"":""n"",""src"":{""",M519,""":{""raddr"":""",L519,":0"",""mhdr"":""",K519,""",","""name""",":","""NODO-01","""},""",O519,""":{""raddr"":""",N519,":0"",""mhdr"":""",K519,""",","""name""",":","""NODO-02","""}},","""dst"":{""mode"":""",F519,""",""raddr"":""",IF(F519="server",G519,I519),":",IF(F519="server",0,J519),""",""",IF(F519="server","lport","mhdr"),""":""",IF(F519="server",J519,""),IF(F519="server"," ",""),K519,""",","""name""",":","""",B519,IF(P519&lt;&gt;"",CONCATENATE("""},","""plugin""",": {","""file""",":""",P519,""",","""type""",":","""","RM""",",","""args""",": {","""nodrop""",":","""n""","}")),Q519)</f>
        <v>"1":{"rules":{"1":{"type":"con","dst_persist":"n","src":{"30001":{"raddr":"172.29.10.69:0","mhdr":"BHb2","name":"NODO-01"},"40001":{"raddr":"172.29.10.70:0","mhdr":"BHb2","name":"NODO-02"}},"dst":{"mode":"server","raddr":"172.16.4.11:0","lport":"6003 BHb2","name":"MASTERCARD BNET PT In 1"},"plugin": {"file":"slb_plugin_rm_mc.so","type":"RM","args": {"nodrop":"n"}}},</v>
      </c>
    </row>
    <row r="520" spans="1:18" ht="15" thickBot="1">
      <c r="A520" s="30"/>
      <c r="B520" s="2" t="s">
        <v>16</v>
      </c>
      <c r="C520" s="2"/>
      <c r="D520" s="8">
        <v>2</v>
      </c>
      <c r="E520" s="8"/>
      <c r="F520" s="8" t="s">
        <v>8</v>
      </c>
      <c r="G520" s="6" t="s">
        <v>49</v>
      </c>
      <c r="H520" s="6" t="s">
        <v>55</v>
      </c>
      <c r="I520" s="8"/>
      <c r="J520" s="6">
        <v>7003</v>
      </c>
      <c r="K520" s="33" t="s">
        <v>55</v>
      </c>
      <c r="L520" s="32" t="str">
        <f t="shared" ref="L520:L580" si="96">$B$516</f>
        <v>172.29.10.69</v>
      </c>
      <c r="M520" s="46">
        <v>30002</v>
      </c>
      <c r="N520" s="32" t="str">
        <f t="shared" ref="N520:N580" si="97">$B$517</f>
        <v>172.29.10.70</v>
      </c>
      <c r="O520" s="46">
        <f t="shared" ref="O520:O526" si="98">+M520+10000</f>
        <v>40002</v>
      </c>
      <c r="P520" s="33" t="s">
        <v>141</v>
      </c>
      <c r="Q520" s="34" t="s">
        <v>95</v>
      </c>
      <c r="R520" s="3" t="str">
        <f t="shared" ref="R520:R560" si="99">CONCATENATE(IF(A520&lt;&gt;"",CONCATENATE("""",A520,"""",":{","""","rules","""",":{"),""),"""",D520,""":{""type"":""con"",""dst_persist"":""n"",""src"":{""",M520,""":{""raddr"":""",L520,":0"",""mhdr"":""",K520,""",","""name""",":","""NODO-01","""},""",O520,""":{""raddr"":""",N520,":0"",""mhdr"":""",K520,""",","""name""",":","""NODO-02","""}},","""dst"":{""mode"":""",F520,""",""raddr"":""",IF(F520="server",G520,I520),":",IF(F520="server",0,J520),""",""",IF(F520="server","lport","mhdr"),""":""",IF(F520="server",J520,""),IF(F520="server"," ",""),K520,""",","""name""",":","""",B520,IF(P520&lt;&gt;"",CONCATENATE("""},","""plugin""",": {","""file""",":""",P520,""",","""type""",":","""","RM""",",","""args""",": {","""nodrop""",":","""n""","}")),Q520)</f>
        <v>"2":{"type":"con","dst_persist":"n","src":{"30002":{"raddr":"172.29.10.69:0","mhdr":"BHb2","name":"NODO-01"},"40002":{"raddr":"172.29.10.70:0","mhdr":"BHb2","name":"NODO-02"}},"dst":{"mode":"server","raddr":"172.16.4.11:0","lport":"7003 BHb2","name":"MASTERCARD BNET PT In 2"},"plugin": {"file":"slb_plugin_rm_mc.so","type":"RM","args": {"nodrop":"n"}}},</v>
      </c>
    </row>
    <row r="521" spans="1:18" ht="15" thickBot="1">
      <c r="A521" s="12"/>
      <c r="B521" s="2" t="s">
        <v>19</v>
      </c>
      <c r="C521" s="2"/>
      <c r="D521" s="6">
        <v>3</v>
      </c>
      <c r="E521" s="6"/>
      <c r="F521" s="6" t="s">
        <v>14</v>
      </c>
      <c r="G521" s="6"/>
      <c r="H521" s="6" t="s">
        <v>55</v>
      </c>
      <c r="I521" s="6" t="s">
        <v>1467</v>
      </c>
      <c r="J521" s="6">
        <v>6003</v>
      </c>
      <c r="K521" s="33" t="s">
        <v>55</v>
      </c>
      <c r="L521" s="32" t="str">
        <f t="shared" si="96"/>
        <v>172.29.10.69</v>
      </c>
      <c r="M521" s="46">
        <v>30005</v>
      </c>
      <c r="N521" s="32" t="str">
        <f t="shared" si="97"/>
        <v>172.29.10.70</v>
      </c>
      <c r="O521" s="46">
        <f t="shared" si="98"/>
        <v>40005</v>
      </c>
      <c r="P521" s="33" t="s">
        <v>141</v>
      </c>
      <c r="Q521" s="34" t="s">
        <v>95</v>
      </c>
      <c r="R521" s="3" t="str">
        <f t="shared" si="99"/>
        <v>"3":{"type":"con","dst_persist":"n","src":{"30005":{"raddr":"172.29.10.69:0","mhdr":"BHb2","name":"NODO-01"},"40005":{"raddr":"172.29.10.70:0","mhdr":"BHb2","name":"NODO-02"}},"dst":{"mode":"client","raddr":"10.122.138.55:6003","mhdr":"BHb2","name":"MASTERCARD BNET PT Out 1"},"plugin": {"file":"slb_plugin_rm_mc.so","type":"RM","args": {"nodrop":"n"}}},</v>
      </c>
    </row>
    <row r="522" spans="1:18" ht="15" thickBot="1">
      <c r="A522" s="12"/>
      <c r="B522" s="2" t="s">
        <v>21</v>
      </c>
      <c r="C522" s="2"/>
      <c r="D522" s="6">
        <v>4</v>
      </c>
      <c r="E522" s="6"/>
      <c r="F522" s="6" t="s">
        <v>14</v>
      </c>
      <c r="G522" s="6"/>
      <c r="H522" s="6" t="s">
        <v>55</v>
      </c>
      <c r="I522" s="6" t="s">
        <v>1468</v>
      </c>
      <c r="J522" s="6">
        <v>7003</v>
      </c>
      <c r="K522" s="33" t="s">
        <v>55</v>
      </c>
      <c r="L522" s="32" t="str">
        <f t="shared" si="96"/>
        <v>172.29.10.69</v>
      </c>
      <c r="M522" s="46">
        <v>30006</v>
      </c>
      <c r="N522" s="32" t="str">
        <f t="shared" si="97"/>
        <v>172.29.10.70</v>
      </c>
      <c r="O522" s="46">
        <f t="shared" si="98"/>
        <v>40006</v>
      </c>
      <c r="P522" s="33" t="s">
        <v>141</v>
      </c>
      <c r="Q522" s="34" t="s">
        <v>96</v>
      </c>
      <c r="R522" s="3" t="str">
        <f t="shared" si="99"/>
        <v>"4":{"type":"con","dst_persist":"n","src":{"30006":{"raddr":"172.29.10.69:0","mhdr":"BHb2","name":"NODO-01"},"40006":{"raddr":"172.29.10.70:0","mhdr":"BHb2","name":"NODO-02"}},"dst":{"mode":"client","raddr":"10.122.138.56:7003","mhdr":"BHb2","name":"MASTERCARD BNET PT Out 2"},"plugin": {"file":"slb_plugin_rm_mc.so","type":"RM","args": {"nodrop":"n"}}}}},</v>
      </c>
    </row>
    <row r="523" spans="1:18" ht="15" thickBot="1">
      <c r="A523" s="30">
        <v>2</v>
      </c>
      <c r="B523" s="2" t="s">
        <v>17</v>
      </c>
      <c r="C523" s="2"/>
      <c r="D523" s="8">
        <v>1</v>
      </c>
      <c r="E523" s="8"/>
      <c r="F523" s="8" t="s">
        <v>8</v>
      </c>
      <c r="G523" s="6" t="s">
        <v>53</v>
      </c>
      <c r="H523" s="6" t="s">
        <v>55</v>
      </c>
      <c r="I523" s="8"/>
      <c r="J523" s="6">
        <v>6004</v>
      </c>
      <c r="K523" s="33" t="s">
        <v>55</v>
      </c>
      <c r="L523" s="32" t="str">
        <f t="shared" si="96"/>
        <v>172.29.10.69</v>
      </c>
      <c r="M523" s="46">
        <v>30003</v>
      </c>
      <c r="N523" s="32" t="str">
        <f t="shared" si="97"/>
        <v>172.29.10.70</v>
      </c>
      <c r="O523" s="46">
        <f>+M523+10000</f>
        <v>40003</v>
      </c>
      <c r="P523" s="33" t="s">
        <v>141</v>
      </c>
      <c r="Q523" s="34" t="s">
        <v>95</v>
      </c>
      <c r="R523" s="3" t="str">
        <f t="shared" si="99"/>
        <v>"2":{"rules":{"1":{"type":"con","dst_persist":"n","src":{"30003":{"raddr":"172.29.10.69:0","mhdr":"BHb2","name":"NODO-01"},"40003":{"raddr":"172.29.10.70:0","mhdr":"BHb2","name":"NODO-02"}},"dst":{"mode":"server","raddr":"172.16.4.52:0","lport":"6004 BHb2","name":"MASTERCARD MDS PT In 1"},"plugin": {"file":"slb_plugin_rm_mc.so","type":"RM","args": {"nodrop":"n"}}},</v>
      </c>
    </row>
    <row r="524" spans="1:18" ht="15" thickBot="1">
      <c r="A524" s="30"/>
      <c r="B524" s="2" t="s">
        <v>18</v>
      </c>
      <c r="C524" s="2"/>
      <c r="D524" s="8">
        <v>2</v>
      </c>
      <c r="E524" s="8"/>
      <c r="F524" s="8" t="s">
        <v>8</v>
      </c>
      <c r="G524" s="6" t="s">
        <v>53</v>
      </c>
      <c r="H524" s="6" t="s">
        <v>55</v>
      </c>
      <c r="I524" s="8"/>
      <c r="J524" s="6">
        <v>7004</v>
      </c>
      <c r="K524" s="33" t="s">
        <v>55</v>
      </c>
      <c r="L524" s="32" t="str">
        <f t="shared" si="96"/>
        <v>172.29.10.69</v>
      </c>
      <c r="M524" s="46">
        <v>30004</v>
      </c>
      <c r="N524" s="32" t="str">
        <f t="shared" si="97"/>
        <v>172.29.10.70</v>
      </c>
      <c r="O524" s="46">
        <f>+M524+10000</f>
        <v>40004</v>
      </c>
      <c r="P524" s="33" t="s">
        <v>141</v>
      </c>
      <c r="Q524" s="34" t="s">
        <v>95</v>
      </c>
      <c r="R524" s="3" t="str">
        <f t="shared" si="99"/>
        <v>"2":{"type":"con","dst_persist":"n","src":{"30004":{"raddr":"172.29.10.69:0","mhdr":"BHb2","name":"NODO-01"},"40004":{"raddr":"172.29.10.70:0","mhdr":"BHb2","name":"NODO-02"}},"dst":{"mode":"server","raddr":"172.16.4.52:0","lport":"7004 BHb2","name":"MASTERCARD MDS PT In 2"},"plugin": {"file":"slb_plugin_rm_mc.so","type":"RM","args": {"nodrop":"n"}}},</v>
      </c>
    </row>
    <row r="525" spans="1:18" ht="15" thickBot="1">
      <c r="A525" s="12"/>
      <c r="B525" s="2" t="s">
        <v>20</v>
      </c>
      <c r="C525" s="2"/>
      <c r="D525" s="6">
        <v>3</v>
      </c>
      <c r="E525" s="6"/>
      <c r="F525" s="6" t="s">
        <v>14</v>
      </c>
      <c r="G525" s="6"/>
      <c r="H525" s="6" t="s">
        <v>55</v>
      </c>
      <c r="I525" s="6" t="s">
        <v>1467</v>
      </c>
      <c r="J525" s="6">
        <v>6004</v>
      </c>
      <c r="K525" s="33" t="s">
        <v>55</v>
      </c>
      <c r="L525" s="32" t="str">
        <f t="shared" si="96"/>
        <v>172.29.10.69</v>
      </c>
      <c r="M525" s="46">
        <v>30007</v>
      </c>
      <c r="N525" s="32" t="str">
        <f t="shared" si="97"/>
        <v>172.29.10.70</v>
      </c>
      <c r="O525" s="46">
        <f t="shared" si="98"/>
        <v>40007</v>
      </c>
      <c r="P525" s="33" t="s">
        <v>141</v>
      </c>
      <c r="Q525" s="34" t="s">
        <v>95</v>
      </c>
      <c r="R525" s="3" t="str">
        <f t="shared" si="99"/>
        <v>"3":{"type":"con","dst_persist":"n","src":{"30007":{"raddr":"172.29.10.69:0","mhdr":"BHb2","name":"NODO-01"},"40007":{"raddr":"172.29.10.70:0","mhdr":"BHb2","name":"NODO-02"}},"dst":{"mode":"client","raddr":"10.122.138.55:6004","mhdr":"BHb2","name":"MASTERCARD MDS PT Out 1"},"plugin": {"file":"slb_plugin_rm_mc.so","type":"RM","args": {"nodrop":"n"}}},</v>
      </c>
    </row>
    <row r="526" spans="1:18" ht="15" thickBot="1">
      <c r="A526" s="13"/>
      <c r="B526" s="14" t="s">
        <v>22</v>
      </c>
      <c r="C526" s="14"/>
      <c r="D526" s="15">
        <v>4</v>
      </c>
      <c r="E526" s="15"/>
      <c r="F526" s="15" t="s">
        <v>14</v>
      </c>
      <c r="G526" s="15"/>
      <c r="H526" s="15" t="s">
        <v>55</v>
      </c>
      <c r="I526" s="15" t="s">
        <v>1468</v>
      </c>
      <c r="J526" s="15">
        <v>7004</v>
      </c>
      <c r="K526" s="35" t="s">
        <v>55</v>
      </c>
      <c r="L526" s="32" t="str">
        <f t="shared" si="96"/>
        <v>172.29.10.69</v>
      </c>
      <c r="M526" s="50">
        <v>30008</v>
      </c>
      <c r="N526" s="32" t="str">
        <f t="shared" si="97"/>
        <v>172.29.10.70</v>
      </c>
      <c r="O526" s="50">
        <f t="shared" si="98"/>
        <v>40008</v>
      </c>
      <c r="P526" s="35" t="s">
        <v>141</v>
      </c>
      <c r="Q526" s="36" t="s">
        <v>96</v>
      </c>
      <c r="R526" s="3" t="str">
        <f t="shared" si="99"/>
        <v>"4":{"type":"con","dst_persist":"n","src":{"30008":{"raddr":"172.29.10.69:0","mhdr":"BHb2","name":"NODO-01"},"40008":{"raddr":"172.29.10.70:0","mhdr":"BHb2","name":"NODO-02"}},"dst":{"mode":"client","raddr":"10.122.138.56:7004","mhdr":"BHb2","name":"MASTERCARD MDS PT Out 2"},"plugin": {"file":"slb_plugin_rm_mc.so","type":"RM","args": {"nodrop":"n"}}}}},</v>
      </c>
    </row>
    <row r="527" spans="1:18" ht="15" thickBot="1">
      <c r="A527" s="47">
        <v>3</v>
      </c>
      <c r="B527" s="23" t="s">
        <v>40</v>
      </c>
      <c r="C527" s="23"/>
      <c r="D527" s="29">
        <v>1</v>
      </c>
      <c r="E527" s="29"/>
      <c r="F527" s="29" t="s">
        <v>8</v>
      </c>
      <c r="G527" s="29" t="s">
        <v>60</v>
      </c>
      <c r="H527" s="29" t="s">
        <v>437</v>
      </c>
      <c r="I527" s="29"/>
      <c r="J527" s="29">
        <v>7095</v>
      </c>
      <c r="K527" s="32" t="s">
        <v>437</v>
      </c>
      <c r="L527" s="32" t="str">
        <f t="shared" si="96"/>
        <v>172.29.10.69</v>
      </c>
      <c r="M527" s="48">
        <v>30150</v>
      </c>
      <c r="N527" s="32" t="str">
        <f t="shared" si="97"/>
        <v>172.29.10.70</v>
      </c>
      <c r="O527" s="48">
        <f>+M527+10000</f>
        <v>40150</v>
      </c>
      <c r="P527" s="32" t="s">
        <v>94</v>
      </c>
      <c r="Q527" s="49" t="s">
        <v>95</v>
      </c>
      <c r="R527" s="3" t="str">
        <f t="shared" si="99"/>
        <v>"3":{"rules":{"1":{"type":"con","dst_persist":"n","src":{"30150":{"raddr":"172.29.10.69:0","mhdr":"iBHb2","name":"NODO-01"},"40150":{"raddr":"172.29.10.70:0","mhdr":"iBHb2","name":"NODO-02"}},"dst":{"mode":"server","raddr":"10.1.3.36:0","lport":"7095 iBHb2","name":"RBM (B24-SV) ADQUIRIENTE PT In"},"plugin": {"file":"slb_plugin_rm_biciso.so","type":"RM","args": {"nodrop":"n"}}},</v>
      </c>
    </row>
    <row r="528" spans="1:18" ht="15" thickBot="1">
      <c r="A528" s="30"/>
      <c r="B528" s="7" t="s">
        <v>41</v>
      </c>
      <c r="C528" s="7"/>
      <c r="D528" s="8">
        <v>2</v>
      </c>
      <c r="E528" s="8"/>
      <c r="F528" s="8" t="s">
        <v>14</v>
      </c>
      <c r="G528" s="8"/>
      <c r="H528" s="8" t="s">
        <v>437</v>
      </c>
      <c r="I528" s="8" t="s">
        <v>60</v>
      </c>
      <c r="J528" s="8">
        <v>3011</v>
      </c>
      <c r="K528" s="33" t="s">
        <v>437</v>
      </c>
      <c r="L528" s="32" t="str">
        <f t="shared" si="96"/>
        <v>172.29.10.69</v>
      </c>
      <c r="M528" s="46">
        <v>30160</v>
      </c>
      <c r="N528" s="32" t="str">
        <f t="shared" si="97"/>
        <v>172.29.10.70</v>
      </c>
      <c r="O528" s="46">
        <f>+M528+10000</f>
        <v>40160</v>
      </c>
      <c r="P528" s="33" t="s">
        <v>94</v>
      </c>
      <c r="Q528" s="34" t="s">
        <v>95</v>
      </c>
      <c r="R528" s="3" t="str">
        <f t="shared" si="99"/>
        <v>"2":{"type":"con","dst_persist":"n","src":{"30160":{"raddr":"172.29.10.69:0","mhdr":"iBHb2","name":"NODO-01"},"40160":{"raddr":"172.29.10.70:0","mhdr":"iBHb2","name":"NODO-02"}},"dst":{"mode":"client","raddr":"10.1.3.36:3011","mhdr":"iBHb2","name":"RBM (B24-SV) ADQUIRIENTE PT Out"},"plugin": {"file":"slb_plugin_rm_biciso.so","type":"RM","args": {"nodrop":"n"}}},</v>
      </c>
    </row>
    <row r="529" spans="1:18" ht="15" thickBot="1">
      <c r="A529" s="30"/>
      <c r="B529" s="7" t="s">
        <v>44</v>
      </c>
      <c r="C529" s="7"/>
      <c r="D529" s="8">
        <v>3</v>
      </c>
      <c r="E529" s="8"/>
      <c r="F529" s="8" t="s">
        <v>14</v>
      </c>
      <c r="G529" s="8"/>
      <c r="H529" s="8" t="s">
        <v>437</v>
      </c>
      <c r="I529" s="8" t="s">
        <v>1469</v>
      </c>
      <c r="J529" s="8">
        <v>7095</v>
      </c>
      <c r="K529" s="33" t="s">
        <v>437</v>
      </c>
      <c r="L529" s="32" t="str">
        <f t="shared" si="96"/>
        <v>172.29.10.69</v>
      </c>
      <c r="M529" s="46">
        <v>30190</v>
      </c>
      <c r="N529" s="32" t="str">
        <f t="shared" si="97"/>
        <v>172.29.10.70</v>
      </c>
      <c r="O529" s="46">
        <f>+M529+10000</f>
        <v>40190</v>
      </c>
      <c r="P529" s="33" t="s">
        <v>94</v>
      </c>
      <c r="Q529" s="34" t="s">
        <v>95</v>
      </c>
      <c r="R529" s="3" t="str">
        <f t="shared" si="99"/>
        <v>"3":{"type":"con","dst_persist":"n","src":{"30190":{"raddr":"172.29.10.69:0","mhdr":"iBHb2","name":"NODO-01"},"40190":{"raddr":"172.29.10.70:0","mhdr":"iBHb2","name":"NODO-02"}},"dst":{"mode":"client","raddr":"172.17.95.3:7095","mhdr":"iBHb2","name":"RBM (SV-RBM) ADQUIRIENTE PT Out"},"plugin": {"file":"slb_plugin_rm_biciso.so","type":"RM","args": {"nodrop":"n"}}},</v>
      </c>
    </row>
    <row r="530" spans="1:18" ht="15" thickBot="1">
      <c r="A530" s="30"/>
      <c r="B530" s="7" t="s">
        <v>45</v>
      </c>
      <c r="C530" s="7"/>
      <c r="D530" s="8">
        <v>4</v>
      </c>
      <c r="E530" s="8"/>
      <c r="F530" s="8" t="s">
        <v>8</v>
      </c>
      <c r="G530" s="8" t="s">
        <v>1470</v>
      </c>
      <c r="H530" s="8" t="s">
        <v>437</v>
      </c>
      <c r="I530" s="8"/>
      <c r="J530" s="8">
        <v>3011</v>
      </c>
      <c r="K530" s="33" t="s">
        <v>437</v>
      </c>
      <c r="L530" s="32" t="str">
        <f t="shared" si="96"/>
        <v>172.29.10.69</v>
      </c>
      <c r="M530" s="46">
        <v>30200</v>
      </c>
      <c r="N530" s="32" t="str">
        <f t="shared" si="97"/>
        <v>172.29.10.70</v>
      </c>
      <c r="O530" s="46">
        <f>+M530+10000</f>
        <v>40200</v>
      </c>
      <c r="P530" s="33" t="s">
        <v>94</v>
      </c>
      <c r="Q530" s="34" t="s">
        <v>96</v>
      </c>
      <c r="R530" s="3" t="str">
        <f t="shared" si="99"/>
        <v>"4":{"type":"con","dst_persist":"n","src":{"30200":{"raddr":"172.29.10.69:0","mhdr":"iBHb2","name":"NODO-01"},"40200":{"raddr":"172.29.10.70:0","mhdr":"iBHb2","name":"NODO-02"}},"dst":{"mode":"server","raddr":"172.17.95.2:0","lport":"3011 iBHb2","name":"RBM (SV-RBM) ADQUIRIENTE PT In"},"plugin": {"file":"slb_plugin_rm_biciso.so","type":"RM","args": {"nodrop":"n"}}}}},</v>
      </c>
    </row>
    <row r="531" spans="1:18" ht="15" thickBot="1">
      <c r="A531" s="30">
        <v>4</v>
      </c>
      <c r="B531" s="7" t="s">
        <v>38</v>
      </c>
      <c r="C531" s="7"/>
      <c r="D531" s="8">
        <v>1</v>
      </c>
      <c r="E531" s="8"/>
      <c r="F531" s="8" t="s">
        <v>8</v>
      </c>
      <c r="G531" s="8" t="s">
        <v>63</v>
      </c>
      <c r="H531" s="8" t="s">
        <v>437</v>
      </c>
      <c r="I531" s="8"/>
      <c r="J531" s="8">
        <v>7096</v>
      </c>
      <c r="K531" s="33" t="s">
        <v>437</v>
      </c>
      <c r="L531" s="32" t="str">
        <f t="shared" si="96"/>
        <v>172.29.10.69</v>
      </c>
      <c r="M531" s="46">
        <v>30130</v>
      </c>
      <c r="N531" s="32" t="str">
        <f t="shared" si="97"/>
        <v>172.29.10.70</v>
      </c>
      <c r="O531" s="46">
        <f t="shared" ref="O531:O550" si="100">+M531+10000</f>
        <v>40130</v>
      </c>
      <c r="P531" s="33" t="s">
        <v>94</v>
      </c>
      <c r="Q531" s="34" t="s">
        <v>95</v>
      </c>
      <c r="R531" s="3" t="str">
        <f t="shared" si="99"/>
        <v>"4":{"rules":{"1":{"type":"con","dst_persist":"n","src":{"30130":{"raddr":"172.29.10.69:0","mhdr":"iBHb2","name":"NODO-01"},"40130":{"raddr":"172.29.10.70:0","mhdr":"iBHb2","name":"NODO-02"}},"dst":{"mode":"server","raddr":"10.1.3.34:0","lport":"7096 iBHb2","name":"RBM (B24-SV) EMISOR PT In"},"plugin": {"file":"slb_plugin_rm_biciso.so","type":"RM","args": {"nodrop":"n"}}},</v>
      </c>
    </row>
    <row r="532" spans="1:18" ht="15" thickBot="1">
      <c r="A532" s="30"/>
      <c r="B532" s="7" t="s">
        <v>39</v>
      </c>
      <c r="C532" s="7"/>
      <c r="D532" s="8">
        <v>2</v>
      </c>
      <c r="E532" s="8"/>
      <c r="F532" s="8" t="s">
        <v>14</v>
      </c>
      <c r="G532" s="8"/>
      <c r="H532" s="8" t="s">
        <v>437</v>
      </c>
      <c r="I532" s="8" t="s">
        <v>63</v>
      </c>
      <c r="J532" s="8">
        <v>4011</v>
      </c>
      <c r="K532" s="33" t="s">
        <v>437</v>
      </c>
      <c r="L532" s="32" t="str">
        <f t="shared" si="96"/>
        <v>172.29.10.69</v>
      </c>
      <c r="M532" s="46">
        <v>30140</v>
      </c>
      <c r="N532" s="32" t="str">
        <f t="shared" si="97"/>
        <v>172.29.10.70</v>
      </c>
      <c r="O532" s="46">
        <f t="shared" si="100"/>
        <v>40140</v>
      </c>
      <c r="P532" s="33" t="s">
        <v>94</v>
      </c>
      <c r="Q532" s="34" t="s">
        <v>95</v>
      </c>
      <c r="R532" s="3" t="str">
        <f t="shared" si="99"/>
        <v>"2":{"type":"con","dst_persist":"n","src":{"30140":{"raddr":"172.29.10.69:0","mhdr":"iBHb2","name":"NODO-01"},"40140":{"raddr":"172.29.10.70:0","mhdr":"iBHb2","name":"NODO-02"}},"dst":{"mode":"client","raddr":"10.1.3.34:4011","mhdr":"iBHb2","name":"RBM (B24-SV) EMISOR PT Out"},"plugin": {"file":"slb_plugin_rm_biciso.so","type":"RM","args": {"nodrop":"n"}}},</v>
      </c>
    </row>
    <row r="533" spans="1:18" ht="15" thickBot="1">
      <c r="A533" s="30"/>
      <c r="B533" s="7" t="s">
        <v>42</v>
      </c>
      <c r="C533" s="7"/>
      <c r="D533" s="8">
        <v>3</v>
      </c>
      <c r="E533" s="8"/>
      <c r="F533" s="8" t="s">
        <v>14</v>
      </c>
      <c r="G533" s="8"/>
      <c r="H533" s="8" t="s">
        <v>437</v>
      </c>
      <c r="I533" s="8" t="s">
        <v>1469</v>
      </c>
      <c r="J533" s="8">
        <v>7096</v>
      </c>
      <c r="K533" s="33" t="s">
        <v>437</v>
      </c>
      <c r="L533" s="32" t="str">
        <f t="shared" si="96"/>
        <v>172.29.10.69</v>
      </c>
      <c r="M533" s="46">
        <v>30170</v>
      </c>
      <c r="N533" s="32" t="str">
        <f t="shared" si="97"/>
        <v>172.29.10.70</v>
      </c>
      <c r="O533" s="46">
        <f t="shared" si="100"/>
        <v>40170</v>
      </c>
      <c r="P533" s="33" t="s">
        <v>94</v>
      </c>
      <c r="Q533" s="34" t="s">
        <v>95</v>
      </c>
      <c r="R533" s="3" t="str">
        <f t="shared" si="99"/>
        <v>"3":{"type":"con","dst_persist":"n","src":{"30170":{"raddr":"172.29.10.69:0","mhdr":"iBHb2","name":"NODO-01"},"40170":{"raddr":"172.29.10.70:0","mhdr":"iBHb2","name":"NODO-02"}},"dst":{"mode":"client","raddr":"172.17.95.3:7096","mhdr":"iBHb2","name":"RBM (SV-RBM) EMISOR PT Out"},"plugin": {"file":"slb_plugin_rm_biciso.so","type":"RM","args": {"nodrop":"n"}}},</v>
      </c>
    </row>
    <row r="534" spans="1:18" ht="15" thickBot="1">
      <c r="A534" s="40"/>
      <c r="B534" s="16" t="s">
        <v>43</v>
      </c>
      <c r="C534" s="16"/>
      <c r="D534" s="17">
        <v>4</v>
      </c>
      <c r="E534" s="17"/>
      <c r="F534" s="17" t="s">
        <v>8</v>
      </c>
      <c r="G534" s="17" t="s">
        <v>1470</v>
      </c>
      <c r="H534" s="17" t="s">
        <v>437</v>
      </c>
      <c r="I534" s="17"/>
      <c r="J534" s="17">
        <v>4011</v>
      </c>
      <c r="K534" s="35" t="s">
        <v>437</v>
      </c>
      <c r="L534" s="32" t="str">
        <f t="shared" si="96"/>
        <v>172.29.10.69</v>
      </c>
      <c r="M534" s="50">
        <v>30180</v>
      </c>
      <c r="N534" s="32" t="str">
        <f t="shared" si="97"/>
        <v>172.29.10.70</v>
      </c>
      <c r="O534" s="50">
        <f t="shared" si="100"/>
        <v>40180</v>
      </c>
      <c r="P534" s="35" t="s">
        <v>94</v>
      </c>
      <c r="Q534" s="36" t="s">
        <v>96</v>
      </c>
      <c r="R534" s="3" t="str">
        <f t="shared" si="99"/>
        <v>"4":{"type":"con","dst_persist":"n","src":{"30180":{"raddr":"172.29.10.69:0","mhdr":"iBHb2","name":"NODO-01"},"40180":{"raddr":"172.29.10.70:0","mhdr":"iBHb2","name":"NODO-02"}},"dst":{"mode":"server","raddr":"172.17.95.2:0","lport":"4011 iBHb2","name":"RBM (SV-RBM) EMISOR PT In"},"plugin": {"file":"slb_plugin_rm_biciso.so","type":"RM","args": {"nodrop":"n"}}}}},</v>
      </c>
    </row>
    <row r="535" spans="1:18" ht="15" thickBot="1">
      <c r="A535" s="9">
        <v>5</v>
      </c>
      <c r="B535" s="10" t="s">
        <v>133</v>
      </c>
      <c r="C535" s="10"/>
      <c r="D535" s="11">
        <v>1</v>
      </c>
      <c r="E535" s="11"/>
      <c r="F535" s="11" t="s">
        <v>8</v>
      </c>
      <c r="G535" s="11" t="s">
        <v>229</v>
      </c>
      <c r="H535" s="11" t="s">
        <v>437</v>
      </c>
      <c r="I535" s="11"/>
      <c r="J535" s="11">
        <v>35903</v>
      </c>
      <c r="K535" s="32" t="s">
        <v>437</v>
      </c>
      <c r="L535" s="32" t="str">
        <f t="shared" si="96"/>
        <v>172.29.10.69</v>
      </c>
      <c r="M535" s="32">
        <v>30010</v>
      </c>
      <c r="N535" s="32" t="str">
        <f t="shared" si="97"/>
        <v>172.29.10.70</v>
      </c>
      <c r="O535" s="32">
        <f t="shared" si="100"/>
        <v>40010</v>
      </c>
      <c r="P535" s="32" t="s">
        <v>136</v>
      </c>
      <c r="Q535" s="49" t="s">
        <v>95</v>
      </c>
      <c r="R535" s="3" t="str">
        <f t="shared" si="99"/>
        <v>"5":{"rules":{"1":{"type":"con","dst_persist":"n","src":{"30010":{"raddr":"172.29.10.69:0","mhdr":"iBHb2","name":"NODO-01"},"40010":{"raddr":"172.29.10.70:0","mhdr":"iBHb2","name":"NODO-02"}},"dst":{"mode":"server","raddr":"172.16.4.10:0","lport":"35903 iBHb2","name":"AMEX COLPATRIA PT In 1"},"plugin": {"file":"slb_plugin_rm_amex.so","type":"RM","args": {"nodrop":"n"}}},</v>
      </c>
    </row>
    <row r="536" spans="1:18" ht="15" thickBot="1">
      <c r="A536" s="12"/>
      <c r="B536" s="2" t="s">
        <v>134</v>
      </c>
      <c r="C536" s="2"/>
      <c r="D536" s="6">
        <v>2</v>
      </c>
      <c r="E536" s="6"/>
      <c r="F536" s="6" t="s">
        <v>8</v>
      </c>
      <c r="G536" s="6" t="s">
        <v>229</v>
      </c>
      <c r="H536" s="6" t="s">
        <v>437</v>
      </c>
      <c r="I536" s="6"/>
      <c r="J536" s="6">
        <v>35904</v>
      </c>
      <c r="K536" s="33" t="s">
        <v>437</v>
      </c>
      <c r="L536" s="32" t="str">
        <f t="shared" si="96"/>
        <v>172.29.10.69</v>
      </c>
      <c r="M536" s="33">
        <v>30020</v>
      </c>
      <c r="N536" s="32" t="str">
        <f t="shared" si="97"/>
        <v>172.29.10.70</v>
      </c>
      <c r="O536" s="33">
        <f t="shared" si="100"/>
        <v>40020</v>
      </c>
      <c r="P536" s="33" t="s">
        <v>136</v>
      </c>
      <c r="Q536" s="34" t="s">
        <v>95</v>
      </c>
      <c r="R536" s="3" t="str">
        <f t="shared" si="99"/>
        <v>"2":{"type":"con","dst_persist":"n","src":{"30020":{"raddr":"172.29.10.69:0","mhdr":"iBHb2","name":"NODO-01"},"40020":{"raddr":"172.29.10.70:0","mhdr":"iBHb2","name":"NODO-02"}},"dst":{"mode":"server","raddr":"172.16.4.10:0","lport":"35904 iBHb2","name":"AMEX COLPATRIA PT In 2"},"plugin": {"file":"slb_plugin_rm_amex.so","type":"RM","args": {"nodrop":"n"}}},</v>
      </c>
    </row>
    <row r="537" spans="1:18" ht="15" thickBot="1">
      <c r="A537" s="12"/>
      <c r="B537" s="2" t="s">
        <v>32</v>
      </c>
      <c r="C537" s="2"/>
      <c r="D537" s="6">
        <v>3</v>
      </c>
      <c r="E537" s="6"/>
      <c r="F537" s="6" t="s">
        <v>14</v>
      </c>
      <c r="G537" s="6"/>
      <c r="H537" s="6" t="s">
        <v>437</v>
      </c>
      <c r="I537" s="6" t="s">
        <v>1471</v>
      </c>
      <c r="J537" s="6">
        <v>35903</v>
      </c>
      <c r="K537" s="33" t="s">
        <v>437</v>
      </c>
      <c r="L537" s="32" t="str">
        <f t="shared" si="96"/>
        <v>172.29.10.69</v>
      </c>
      <c r="M537" s="33">
        <v>30070</v>
      </c>
      <c r="N537" s="32" t="str">
        <f t="shared" si="97"/>
        <v>172.29.10.70</v>
      </c>
      <c r="O537" s="33">
        <f t="shared" si="100"/>
        <v>40070</v>
      </c>
      <c r="P537" s="33" t="s">
        <v>136</v>
      </c>
      <c r="Q537" s="34" t="s">
        <v>95</v>
      </c>
      <c r="R537" s="3" t="str">
        <f t="shared" si="99"/>
        <v>"3":{"type":"con","dst_persist":"n","src":{"30070":{"raddr":"172.29.10.69:0","mhdr":"iBHb2","name":"NODO-01"},"40070":{"raddr":"172.29.10.70:0","mhdr":"iBHb2","name":"NODO-02"}},"dst":{"mode":"client","raddr":"172.19.209.56:35903","mhdr":"iBHb2","name":"AMEX COLPATRIA PT Out 1"},"plugin": {"file":"slb_plugin_rm_amex.so","type":"RM","args": {"nodrop":"n"}}},</v>
      </c>
    </row>
    <row r="538" spans="1:18" ht="15" thickBot="1">
      <c r="A538" s="13"/>
      <c r="B538" s="14" t="s">
        <v>33</v>
      </c>
      <c r="C538" s="14"/>
      <c r="D538" s="15">
        <v>4</v>
      </c>
      <c r="E538" s="15"/>
      <c r="F538" s="15" t="s">
        <v>14</v>
      </c>
      <c r="G538" s="15"/>
      <c r="H538" s="15" t="s">
        <v>437</v>
      </c>
      <c r="I538" s="15" t="s">
        <v>1471</v>
      </c>
      <c r="J538" s="15">
        <v>35904</v>
      </c>
      <c r="K538" s="35" t="s">
        <v>437</v>
      </c>
      <c r="L538" s="32" t="str">
        <f t="shared" si="96"/>
        <v>172.29.10.69</v>
      </c>
      <c r="M538" s="35">
        <v>30080</v>
      </c>
      <c r="N538" s="32" t="str">
        <f t="shared" si="97"/>
        <v>172.29.10.70</v>
      </c>
      <c r="O538" s="35">
        <f t="shared" si="100"/>
        <v>40080</v>
      </c>
      <c r="P538" s="35" t="s">
        <v>136</v>
      </c>
      <c r="Q538" s="36" t="s">
        <v>96</v>
      </c>
      <c r="R538" s="3" t="str">
        <f t="shared" si="99"/>
        <v>"4":{"type":"con","dst_persist":"n","src":{"30080":{"raddr":"172.29.10.69:0","mhdr":"iBHb2","name":"NODO-01"},"40080":{"raddr":"172.29.10.70:0","mhdr":"iBHb2","name":"NODO-02"}},"dst":{"mode":"client","raddr":"172.19.209.56:35904","mhdr":"iBHb2","name":"AMEX COLPATRIA PT Out 2"},"plugin": {"file":"slb_plugin_rm_amex.so","type":"RM","args": {"nodrop":"n"}}}}},</v>
      </c>
    </row>
    <row r="539" spans="1:18" ht="15" thickBot="1">
      <c r="A539" s="47">
        <v>6</v>
      </c>
      <c r="B539" s="23" t="s">
        <v>28</v>
      </c>
      <c r="C539" s="23"/>
      <c r="D539" s="11">
        <v>1</v>
      </c>
      <c r="E539" s="11"/>
      <c r="F539" s="11" t="s">
        <v>8</v>
      </c>
      <c r="G539" s="11" t="s">
        <v>229</v>
      </c>
      <c r="H539" s="11" t="s">
        <v>437</v>
      </c>
      <c r="I539" s="11"/>
      <c r="J539" s="11">
        <v>35168</v>
      </c>
      <c r="K539" s="32" t="s">
        <v>437</v>
      </c>
      <c r="L539" s="32" t="str">
        <f t="shared" si="96"/>
        <v>172.29.10.69</v>
      </c>
      <c r="M539" s="32">
        <v>30030</v>
      </c>
      <c r="N539" s="32" t="str">
        <f t="shared" si="97"/>
        <v>172.29.10.70</v>
      </c>
      <c r="O539" s="32">
        <f t="shared" si="100"/>
        <v>40030</v>
      </c>
      <c r="P539" s="32" t="s">
        <v>136</v>
      </c>
      <c r="Q539" s="49" t="s">
        <v>95</v>
      </c>
      <c r="R539" s="3" t="str">
        <f t="shared" si="99"/>
        <v>"6":{"rules":{"1":{"type":"con","dst_persist":"n","src":{"30030":{"raddr":"172.29.10.69:0","mhdr":"iBHb2","name":"NODO-01"},"40030":{"raddr":"172.29.10.70:0","mhdr":"iBHb2","name":"NODO-02"}},"dst":{"mode":"server","raddr":"172.16.4.10:0","lport":"35168 iBHb2","name":"AMEX BANCOLOMBIA EMISOR PT In 1"},"plugin": {"file":"slb_plugin_rm_amex.so","type":"RM","args": {"nodrop":"n"}}},</v>
      </c>
    </row>
    <row r="540" spans="1:18" ht="15" thickBot="1">
      <c r="A540" s="30"/>
      <c r="B540" s="7" t="s">
        <v>29</v>
      </c>
      <c r="C540" s="7"/>
      <c r="D540" s="6">
        <v>2</v>
      </c>
      <c r="E540" s="6"/>
      <c r="F540" s="6" t="s">
        <v>8</v>
      </c>
      <c r="G540" s="6" t="s">
        <v>229</v>
      </c>
      <c r="H540" s="6" t="s">
        <v>437</v>
      </c>
      <c r="I540" s="6"/>
      <c r="J540" s="6">
        <v>35169</v>
      </c>
      <c r="K540" s="33" t="s">
        <v>437</v>
      </c>
      <c r="L540" s="32" t="str">
        <f t="shared" si="96"/>
        <v>172.29.10.69</v>
      </c>
      <c r="M540" s="33">
        <v>30040</v>
      </c>
      <c r="N540" s="32" t="str">
        <f t="shared" si="97"/>
        <v>172.29.10.70</v>
      </c>
      <c r="O540" s="33">
        <f t="shared" si="100"/>
        <v>40040</v>
      </c>
      <c r="P540" s="33" t="s">
        <v>136</v>
      </c>
      <c r="Q540" s="34" t="s">
        <v>95</v>
      </c>
      <c r="R540" s="3" t="str">
        <f t="shared" si="99"/>
        <v>"2":{"type":"con","dst_persist":"n","src":{"30040":{"raddr":"172.29.10.69:0","mhdr":"iBHb2","name":"NODO-01"},"40040":{"raddr":"172.29.10.70:0","mhdr":"iBHb2","name":"NODO-02"}},"dst":{"mode":"server","raddr":"172.16.4.10:0","lport":"35169 iBHb2","name":"AMEX BANCOLOMBIA EMISOR PT In 2"},"plugin": {"file":"slb_plugin_rm_amex.so","type":"RM","args": {"nodrop":"n"}}},</v>
      </c>
    </row>
    <row r="541" spans="1:18" ht="15" thickBot="1">
      <c r="A541" s="30"/>
      <c r="B541" s="7" t="s">
        <v>34</v>
      </c>
      <c r="C541" s="7"/>
      <c r="D541" s="8">
        <v>3</v>
      </c>
      <c r="E541" s="8"/>
      <c r="F541" s="8" t="s">
        <v>14</v>
      </c>
      <c r="G541" s="8"/>
      <c r="H541" s="8" t="s">
        <v>437</v>
      </c>
      <c r="I541" s="8" t="s">
        <v>1471</v>
      </c>
      <c r="J541" s="6">
        <v>35168</v>
      </c>
      <c r="K541" s="33" t="s">
        <v>437</v>
      </c>
      <c r="L541" s="32" t="str">
        <f t="shared" si="96"/>
        <v>172.29.10.69</v>
      </c>
      <c r="M541" s="33">
        <v>30090</v>
      </c>
      <c r="N541" s="32" t="str">
        <f t="shared" si="97"/>
        <v>172.29.10.70</v>
      </c>
      <c r="O541" s="33">
        <f t="shared" si="100"/>
        <v>40090</v>
      </c>
      <c r="P541" s="33" t="s">
        <v>136</v>
      </c>
      <c r="Q541" s="34" t="s">
        <v>95</v>
      </c>
      <c r="R541" s="3" t="str">
        <f t="shared" si="99"/>
        <v>"3":{"type":"con","dst_persist":"n","src":{"30090":{"raddr":"172.29.10.69:0","mhdr":"iBHb2","name":"NODO-01"},"40090":{"raddr":"172.29.10.70:0","mhdr":"iBHb2","name":"NODO-02"}},"dst":{"mode":"client","raddr":"172.19.209.56:35168","mhdr":"iBHb2","name":"AMEX BANCOLOMBIA EMISOR PT Out 1"},"plugin": {"file":"slb_plugin_rm_amex.so","type":"RM","args": {"nodrop":"n"}}},</v>
      </c>
    </row>
    <row r="542" spans="1:18" ht="15" thickBot="1">
      <c r="A542" s="30"/>
      <c r="B542" s="7" t="s">
        <v>35</v>
      </c>
      <c r="C542" s="7"/>
      <c r="D542" s="8">
        <v>4</v>
      </c>
      <c r="E542" s="8"/>
      <c r="F542" s="8" t="s">
        <v>14</v>
      </c>
      <c r="G542" s="8"/>
      <c r="H542" s="8" t="s">
        <v>437</v>
      </c>
      <c r="I542" s="8" t="s">
        <v>1471</v>
      </c>
      <c r="J542" s="6">
        <v>35169</v>
      </c>
      <c r="K542" s="33" t="s">
        <v>437</v>
      </c>
      <c r="L542" s="32" t="str">
        <f t="shared" si="96"/>
        <v>172.29.10.69</v>
      </c>
      <c r="M542" s="33">
        <v>30100</v>
      </c>
      <c r="N542" s="32" t="str">
        <f t="shared" si="97"/>
        <v>172.29.10.70</v>
      </c>
      <c r="O542" s="33">
        <f t="shared" si="100"/>
        <v>40100</v>
      </c>
      <c r="P542" s="33" t="s">
        <v>136</v>
      </c>
      <c r="Q542" s="34" t="s">
        <v>96</v>
      </c>
      <c r="R542" s="3" t="str">
        <f t="shared" si="99"/>
        <v>"4":{"type":"con","dst_persist":"n","src":{"30100":{"raddr":"172.29.10.69:0","mhdr":"iBHb2","name":"NODO-01"},"40100":{"raddr":"172.29.10.70:0","mhdr":"iBHb2","name":"NODO-02"}},"dst":{"mode":"client","raddr":"172.19.209.56:35169","mhdr":"iBHb2","name":"AMEX BANCOLOMBIA EMISOR PT Out 2"},"plugin": {"file":"slb_plugin_rm_amex.so","type":"RM","args": {"nodrop":"n"}}}}},</v>
      </c>
    </row>
    <row r="543" spans="1:18" ht="15" thickBot="1">
      <c r="A543" s="30">
        <v>7</v>
      </c>
      <c r="B543" s="7" t="s">
        <v>30</v>
      </c>
      <c r="C543" s="7"/>
      <c r="D543" s="8">
        <v>1</v>
      </c>
      <c r="E543" s="8"/>
      <c r="F543" s="8" t="s">
        <v>8</v>
      </c>
      <c r="G543" s="6" t="s">
        <v>229</v>
      </c>
      <c r="H543" s="6" t="s">
        <v>437</v>
      </c>
      <c r="I543" s="8"/>
      <c r="J543" s="8">
        <v>30094</v>
      </c>
      <c r="K543" s="33" t="s">
        <v>437</v>
      </c>
      <c r="L543" s="32" t="str">
        <f t="shared" si="96"/>
        <v>172.29.10.69</v>
      </c>
      <c r="M543" s="33">
        <v>30050</v>
      </c>
      <c r="N543" s="32" t="str">
        <f t="shared" si="97"/>
        <v>172.29.10.70</v>
      </c>
      <c r="O543" s="33">
        <f>+M543+10000</f>
        <v>40050</v>
      </c>
      <c r="P543" s="33" t="s">
        <v>136</v>
      </c>
      <c r="Q543" s="34" t="s">
        <v>95</v>
      </c>
      <c r="R543" s="3" t="str">
        <f t="shared" si="99"/>
        <v>"7":{"rules":{"1":{"type":"con","dst_persist":"n","src":{"30050":{"raddr":"172.29.10.69:0","mhdr":"iBHb2","name":"NODO-01"},"40050":{"raddr":"172.29.10.70:0","mhdr":"iBHb2","name":"NODO-02"}},"dst":{"mode":"server","raddr":"172.16.4.10:0","lport":"30094 iBHb2","name":"AMEX BANCOLOMBIA ADQUIRIENTE PT In 1"},"plugin": {"file":"slb_plugin_rm_amex.so","type":"RM","args": {"nodrop":"n"}}},</v>
      </c>
    </row>
    <row r="544" spans="1:18" ht="15" thickBot="1">
      <c r="A544" s="30"/>
      <c r="B544" s="7" t="s">
        <v>31</v>
      </c>
      <c r="C544" s="7"/>
      <c r="D544" s="8">
        <v>2</v>
      </c>
      <c r="E544" s="8"/>
      <c r="F544" s="8" t="s">
        <v>8</v>
      </c>
      <c r="G544" s="6" t="s">
        <v>229</v>
      </c>
      <c r="H544" s="6" t="s">
        <v>437</v>
      </c>
      <c r="I544" s="8"/>
      <c r="J544" s="8">
        <v>30095</v>
      </c>
      <c r="K544" s="33" t="s">
        <v>437</v>
      </c>
      <c r="L544" s="32" t="str">
        <f t="shared" si="96"/>
        <v>172.29.10.69</v>
      </c>
      <c r="M544" s="33">
        <v>30060</v>
      </c>
      <c r="N544" s="32" t="str">
        <f t="shared" si="97"/>
        <v>172.29.10.70</v>
      </c>
      <c r="O544" s="33">
        <f>+M544+10000</f>
        <v>40060</v>
      </c>
      <c r="P544" s="33" t="s">
        <v>136</v>
      </c>
      <c r="Q544" s="34" t="s">
        <v>95</v>
      </c>
      <c r="R544" s="3" t="str">
        <f t="shared" si="99"/>
        <v>"2":{"type":"con","dst_persist":"n","src":{"30060":{"raddr":"172.29.10.69:0","mhdr":"iBHb2","name":"NODO-01"},"40060":{"raddr":"172.29.10.70:0","mhdr":"iBHb2","name":"NODO-02"}},"dst":{"mode":"server","raddr":"172.16.4.10:0","lport":"30095 iBHb2","name":"AMEX BANCOLOMBIA ADQUIRIENTE PT In 2"},"plugin": {"file":"slb_plugin_rm_amex.so","type":"RM","args": {"nodrop":"n"}}},</v>
      </c>
    </row>
    <row r="545" spans="1:18" ht="15" thickBot="1">
      <c r="A545" s="30"/>
      <c r="B545" s="7" t="s">
        <v>36</v>
      </c>
      <c r="C545" s="7"/>
      <c r="D545" s="8">
        <v>3</v>
      </c>
      <c r="E545" s="8"/>
      <c r="F545" s="8" t="s">
        <v>14</v>
      </c>
      <c r="G545" s="8"/>
      <c r="H545" s="8" t="s">
        <v>437</v>
      </c>
      <c r="I545" s="8" t="s">
        <v>1472</v>
      </c>
      <c r="J545" s="8">
        <v>30094</v>
      </c>
      <c r="K545" s="33" t="s">
        <v>437</v>
      </c>
      <c r="L545" s="32" t="str">
        <f t="shared" si="96"/>
        <v>172.29.10.69</v>
      </c>
      <c r="M545" s="33">
        <v>30110</v>
      </c>
      <c r="N545" s="32" t="str">
        <f t="shared" si="97"/>
        <v>172.29.10.70</v>
      </c>
      <c r="O545" s="33">
        <f t="shared" si="100"/>
        <v>40110</v>
      </c>
      <c r="P545" s="33" t="s">
        <v>136</v>
      </c>
      <c r="Q545" s="34" t="s">
        <v>95</v>
      </c>
      <c r="R545" s="3" t="str">
        <f t="shared" si="99"/>
        <v>"3":{"type":"con","dst_persist":"n","src":{"30110":{"raddr":"172.29.10.69:0","mhdr":"iBHb2","name":"NODO-01"},"40110":{"raddr":"172.29.10.70:0","mhdr":"iBHb2","name":"NODO-02"}},"dst":{"mode":"client","raddr":"172.19.209.53:30094","mhdr":"iBHb2","name":"AMEX BANCOLOMBIA ADQUIRIENTE PT Out 1"},"plugin": {"file":"slb_plugin_rm_amex.so","type":"RM","args": {"nodrop":"n"}}},</v>
      </c>
    </row>
    <row r="546" spans="1:18" ht="15" thickBot="1">
      <c r="A546" s="40"/>
      <c r="B546" s="16" t="s">
        <v>37</v>
      </c>
      <c r="C546" s="16"/>
      <c r="D546" s="17">
        <v>4</v>
      </c>
      <c r="E546" s="17"/>
      <c r="F546" s="17" t="s">
        <v>14</v>
      </c>
      <c r="G546" s="17"/>
      <c r="H546" s="17" t="s">
        <v>437</v>
      </c>
      <c r="I546" s="17" t="s">
        <v>1472</v>
      </c>
      <c r="J546" s="17">
        <v>30095</v>
      </c>
      <c r="K546" s="35" t="s">
        <v>437</v>
      </c>
      <c r="L546" s="32" t="str">
        <f t="shared" si="96"/>
        <v>172.29.10.69</v>
      </c>
      <c r="M546" s="35">
        <v>30120</v>
      </c>
      <c r="N546" s="32" t="str">
        <f t="shared" si="97"/>
        <v>172.29.10.70</v>
      </c>
      <c r="O546" s="35">
        <f t="shared" si="100"/>
        <v>40120</v>
      </c>
      <c r="P546" s="35" t="s">
        <v>136</v>
      </c>
      <c r="Q546" s="36" t="s">
        <v>96</v>
      </c>
      <c r="R546" s="3" t="str">
        <f t="shared" si="99"/>
        <v>"4":{"type":"con","dst_persist":"n","src":{"30120":{"raddr":"172.29.10.69:0","mhdr":"iBHb2","name":"NODO-01"},"40120":{"raddr":"172.29.10.70:0","mhdr":"iBHb2","name":"NODO-02"}},"dst":{"mode":"client","raddr":"172.19.209.53:30095","mhdr":"iBHb2","name":"AMEX BANCOLOMBIA ADQUIRIENTE PT Out 2"},"plugin": {"file":"slb_plugin_rm_amex.so","type":"RM","args": {"nodrop":"n"}}}}},</v>
      </c>
    </row>
    <row r="547" spans="1:18" ht="15" thickBot="1">
      <c r="A547" s="47">
        <v>8</v>
      </c>
      <c r="B547" s="23" t="s">
        <v>73</v>
      </c>
      <c r="C547" s="23"/>
      <c r="D547" s="29">
        <v>1</v>
      </c>
      <c r="E547" s="29"/>
      <c r="F547" s="29" t="s">
        <v>8</v>
      </c>
      <c r="G547" s="29" t="s">
        <v>231</v>
      </c>
      <c r="H547" s="29" t="s">
        <v>156</v>
      </c>
      <c r="I547" s="29"/>
      <c r="J547" s="29">
        <v>10100</v>
      </c>
      <c r="K547" s="32" t="s">
        <v>156</v>
      </c>
      <c r="L547" s="32" t="str">
        <f t="shared" si="96"/>
        <v>172.29.10.69</v>
      </c>
      <c r="M547" s="32">
        <v>30500</v>
      </c>
      <c r="N547" s="32" t="str">
        <f t="shared" si="97"/>
        <v>172.29.10.70</v>
      </c>
      <c r="O547" s="32">
        <f t="shared" si="100"/>
        <v>40500</v>
      </c>
      <c r="P547" s="32" t="s">
        <v>157</v>
      </c>
      <c r="Q547" s="49" t="s">
        <v>95</v>
      </c>
      <c r="R547" s="3" t="str">
        <f t="shared" si="99"/>
        <v>"8":{"rules":{"1":{"type":"con","dst_persist":"n","src":{"30500":{"raddr":"172.29.10.69:0","mhdr":"visa","name":"NODO-01"},"40500":{"raddr":"172.29.10.70:0","mhdr":"visa","name":"NODO-02"}},"dst":{"mode":"server","raddr":"172.19.211.101:0","lport":"10100 visa","name":"VISA (B24-SV) PT In 1"},"plugin": {"file":"slb_plugin_rm_visa.so","type":"RM","args": {"nodrop":"n"}}},</v>
      </c>
    </row>
    <row r="548" spans="1:18" ht="15" thickBot="1">
      <c r="A548" s="30"/>
      <c r="B548" s="7" t="s">
        <v>74</v>
      </c>
      <c r="C548" s="7"/>
      <c r="D548" s="8">
        <v>2</v>
      </c>
      <c r="E548" s="8"/>
      <c r="F548" s="8" t="s">
        <v>8</v>
      </c>
      <c r="G548" s="8" t="s">
        <v>231</v>
      </c>
      <c r="H548" s="8" t="s">
        <v>156</v>
      </c>
      <c r="I548" s="8"/>
      <c r="J548" s="8">
        <v>10101</v>
      </c>
      <c r="K548" s="33" t="s">
        <v>156</v>
      </c>
      <c r="L548" s="32" t="str">
        <f t="shared" si="96"/>
        <v>172.29.10.69</v>
      </c>
      <c r="M548" s="33">
        <v>30520</v>
      </c>
      <c r="N548" s="32" t="str">
        <f t="shared" si="97"/>
        <v>172.29.10.70</v>
      </c>
      <c r="O548" s="33">
        <f t="shared" si="100"/>
        <v>40520</v>
      </c>
      <c r="P548" s="33" t="s">
        <v>157</v>
      </c>
      <c r="Q548" s="34" t="s">
        <v>95</v>
      </c>
      <c r="R548" s="3" t="str">
        <f t="shared" si="99"/>
        <v>"2":{"type":"con","dst_persist":"n","src":{"30520":{"raddr":"172.29.10.69:0","mhdr":"visa","name":"NODO-01"},"40520":{"raddr":"172.29.10.70:0","mhdr":"visa","name":"NODO-02"}},"dst":{"mode":"server","raddr":"172.19.211.101:0","lport":"10101 visa","name":"VISA (B24-SV) PT In 2"},"plugin": {"file":"slb_plugin_rm_visa.so","type":"RM","args": {"nodrop":"n"}}},</v>
      </c>
    </row>
    <row r="549" spans="1:18" ht="15" thickBot="1">
      <c r="A549" s="30"/>
      <c r="B549" s="7" t="s">
        <v>72</v>
      </c>
      <c r="C549" s="7"/>
      <c r="D549" s="8">
        <v>3</v>
      </c>
      <c r="E549" s="8"/>
      <c r="F549" s="8" t="s">
        <v>14</v>
      </c>
      <c r="G549" s="8"/>
      <c r="H549" s="8" t="s">
        <v>156</v>
      </c>
      <c r="I549" s="8" t="s">
        <v>232</v>
      </c>
      <c r="J549" s="8">
        <v>10100</v>
      </c>
      <c r="K549" s="33" t="s">
        <v>156</v>
      </c>
      <c r="L549" s="32" t="str">
        <f t="shared" si="96"/>
        <v>172.29.10.69</v>
      </c>
      <c r="M549" s="33">
        <v>30510</v>
      </c>
      <c r="N549" s="32" t="str">
        <f t="shared" si="97"/>
        <v>172.29.10.70</v>
      </c>
      <c r="O549" s="33">
        <f t="shared" si="100"/>
        <v>40510</v>
      </c>
      <c r="P549" s="33" t="s">
        <v>157</v>
      </c>
      <c r="Q549" s="34" t="s">
        <v>95</v>
      </c>
      <c r="R549" s="3" t="str">
        <f t="shared" si="99"/>
        <v>"3":{"type":"con","dst_persist":"n","src":{"30510":{"raddr":"172.29.10.69:0","mhdr":"visa","name":"NODO-01"},"40510":{"raddr":"172.29.10.70:0","mhdr":"visa","name":"NODO-02"}},"dst":{"mode":"client","raddr":"172.19.213.2:10100","mhdr":"visa","name":"Red Visa Out 1"},"plugin": {"file":"slb_plugin_rm_visa.so","type":"RM","args": {"nodrop":"n"}}},</v>
      </c>
    </row>
    <row r="550" spans="1:18" ht="15" thickBot="1">
      <c r="A550" s="40"/>
      <c r="B550" s="16" t="s">
        <v>71</v>
      </c>
      <c r="C550" s="16"/>
      <c r="D550" s="17">
        <v>4</v>
      </c>
      <c r="E550" s="17"/>
      <c r="F550" s="17" t="s">
        <v>14</v>
      </c>
      <c r="G550" s="17"/>
      <c r="H550" s="17" t="s">
        <v>156</v>
      </c>
      <c r="I550" s="17" t="s">
        <v>233</v>
      </c>
      <c r="J550" s="17">
        <v>10101</v>
      </c>
      <c r="K550" s="35" t="s">
        <v>156</v>
      </c>
      <c r="L550" s="32" t="str">
        <f t="shared" si="96"/>
        <v>172.29.10.69</v>
      </c>
      <c r="M550" s="35">
        <v>30530</v>
      </c>
      <c r="N550" s="32" t="str">
        <f t="shared" si="97"/>
        <v>172.29.10.70</v>
      </c>
      <c r="O550" s="35">
        <f t="shared" si="100"/>
        <v>40530</v>
      </c>
      <c r="P550" s="35" t="s">
        <v>157</v>
      </c>
      <c r="Q550" s="36" t="s">
        <v>96</v>
      </c>
      <c r="R550" s="3" t="str">
        <f t="shared" si="99"/>
        <v>"4":{"type":"con","dst_persist":"n","src":{"30530":{"raddr":"172.29.10.69:0","mhdr":"visa","name":"NODO-01"},"40530":{"raddr":"172.29.10.70:0","mhdr":"visa","name":"NODO-02"}},"dst":{"mode":"client","raddr":"172.19.213.3:10101","mhdr":"visa","name":"Red Visa Out 2"},"plugin": {"file":"slb_plugin_rm_visa.so","type":"RM","args": {"nodrop":"n"}}}}},</v>
      </c>
    </row>
    <row r="551" spans="1:18" ht="15" thickBot="1">
      <c r="A551" s="47">
        <v>9</v>
      </c>
      <c r="B551" s="23" t="s">
        <v>148</v>
      </c>
      <c r="C551" s="23"/>
      <c r="D551" s="29">
        <v>1</v>
      </c>
      <c r="E551" s="29"/>
      <c r="F551" s="29" t="s">
        <v>14</v>
      </c>
      <c r="G551" s="29"/>
      <c r="H551" s="29" t="s">
        <v>437</v>
      </c>
      <c r="I551" s="29" t="s">
        <v>231</v>
      </c>
      <c r="J551" s="29">
        <v>7777</v>
      </c>
      <c r="K551" s="32" t="s">
        <v>437</v>
      </c>
      <c r="L551" s="32" t="str">
        <f t="shared" si="96"/>
        <v>172.29.10.69</v>
      </c>
      <c r="M551" s="32">
        <v>30420</v>
      </c>
      <c r="N551" s="32" t="str">
        <f t="shared" si="97"/>
        <v>172.29.10.70</v>
      </c>
      <c r="O551" s="32">
        <f>M551+10000</f>
        <v>40420</v>
      </c>
      <c r="P551" s="32" t="s">
        <v>94</v>
      </c>
      <c r="Q551" s="49" t="s">
        <v>95</v>
      </c>
      <c r="R551" s="3" t="str">
        <f t="shared" si="99"/>
        <v>"9":{"rules":{"1":{"type":"con","dst_persist":"n","src":{"30420":{"raddr":"172.29.10.69:0","mhdr":"iBHb2","name":"NODO-01"},"40420":{"raddr":"172.29.10.70:0","mhdr":"iBHb2","name":"NODO-02"}},"dst":{"mode":"client","raddr":"172.19.211.101:7777","mhdr":"iBHb2","name":"MC BICISO Ntwk In 1"},"plugin": {"file":"slb_plugin_rm_biciso.so","type":"RM","args": {"nodrop":"n"}}},</v>
      </c>
    </row>
    <row r="552" spans="1:18" ht="15" thickBot="1">
      <c r="A552" s="40"/>
      <c r="B552" s="16" t="s">
        <v>149</v>
      </c>
      <c r="C552" s="16"/>
      <c r="D552" s="17">
        <v>2</v>
      </c>
      <c r="E552" s="17"/>
      <c r="F552" s="17" t="s">
        <v>14</v>
      </c>
      <c r="G552" s="17"/>
      <c r="H552" s="17" t="s">
        <v>437</v>
      </c>
      <c r="I552" s="17" t="s">
        <v>231</v>
      </c>
      <c r="J552" s="17">
        <v>7778</v>
      </c>
      <c r="K552" s="35" t="s">
        <v>437</v>
      </c>
      <c r="L552" s="32" t="str">
        <f t="shared" si="96"/>
        <v>172.29.10.69</v>
      </c>
      <c r="M552" s="35">
        <v>30440</v>
      </c>
      <c r="N552" s="32" t="str">
        <f t="shared" si="97"/>
        <v>172.29.10.70</v>
      </c>
      <c r="O552" s="32">
        <f>M552+10000</f>
        <v>40440</v>
      </c>
      <c r="P552" s="35" t="s">
        <v>94</v>
      </c>
      <c r="Q552" s="36" t="s">
        <v>96</v>
      </c>
      <c r="R552" s="3" t="str">
        <f t="shared" si="99"/>
        <v>"2":{"type":"con","dst_persist":"n","src":{"30440":{"raddr":"172.29.10.69:0","mhdr":"iBHb2","name":"NODO-01"},"40440":{"raddr":"172.29.10.70:0","mhdr":"iBHb2","name":"NODO-02"}},"dst":{"mode":"client","raddr":"172.19.211.101:7778","mhdr":"iBHb2","name":"MC BICISO Ntwk In 2"},"plugin": {"file":"slb_plugin_rm_biciso.so","type":"RM","args": {"nodrop":"n"}}}}},</v>
      </c>
    </row>
    <row r="553" spans="1:18" ht="15" thickBot="1">
      <c r="A553" s="47">
        <v>10</v>
      </c>
      <c r="B553" s="23" t="s">
        <v>237</v>
      </c>
      <c r="C553" s="23"/>
      <c r="D553" s="29">
        <v>1</v>
      </c>
      <c r="E553" s="29"/>
      <c r="F553" s="29" t="s">
        <v>8</v>
      </c>
      <c r="G553" s="29" t="s">
        <v>241</v>
      </c>
      <c r="H553" s="29" t="s">
        <v>55</v>
      </c>
      <c r="I553" s="29"/>
      <c r="J553" s="29">
        <v>2200</v>
      </c>
      <c r="K553" s="32" t="s">
        <v>55</v>
      </c>
      <c r="L553" s="32" t="str">
        <f t="shared" si="96"/>
        <v>172.29.10.69</v>
      </c>
      <c r="M553" s="32">
        <v>30630</v>
      </c>
      <c r="N553" s="32" t="str">
        <f t="shared" si="97"/>
        <v>172.29.10.70</v>
      </c>
      <c r="O553" s="32">
        <f t="shared" ref="O553:O560" si="101">+M553+10000</f>
        <v>40630</v>
      </c>
      <c r="P553" s="32" t="s">
        <v>94</v>
      </c>
      <c r="Q553" s="49" t="s">
        <v>95</v>
      </c>
      <c r="R553" s="3" t="str">
        <f t="shared" si="99"/>
        <v>"10":{"rules":{"1":{"type":"con","dst_persist":"n","src":{"30630":{"raddr":"172.29.10.69:0","mhdr":"BHb2","name":"NODO-01"},"40630":{"raddr":"172.29.10.70:0","mhdr":"BHb2","name":"NODO-02"}},"dst":{"mode":"server","raddr":"172.19.202.220:0","lport":"2200 BHb2","name":"Vpayment In 1"},"plugin": {"file":"slb_plugin_rm_biciso.so","type":"RM","args": {"nodrop":"n"}}},</v>
      </c>
    </row>
    <row r="554" spans="1:18" ht="15" thickBot="1">
      <c r="A554" s="30"/>
      <c r="B554" s="7" t="s">
        <v>238</v>
      </c>
      <c r="C554" s="7"/>
      <c r="D554" s="8">
        <v>2</v>
      </c>
      <c r="E554" s="8"/>
      <c r="F554" s="8" t="s">
        <v>8</v>
      </c>
      <c r="G554" s="8" t="s">
        <v>241</v>
      </c>
      <c r="H554" s="8" t="s">
        <v>55</v>
      </c>
      <c r="I554" s="8"/>
      <c r="J554" s="8">
        <v>3200</v>
      </c>
      <c r="K554" s="33" t="s">
        <v>55</v>
      </c>
      <c r="L554" s="32" t="str">
        <f t="shared" si="96"/>
        <v>172.29.10.69</v>
      </c>
      <c r="M554" s="33">
        <v>30650</v>
      </c>
      <c r="N554" s="32" t="str">
        <f t="shared" si="97"/>
        <v>172.29.10.70</v>
      </c>
      <c r="O554" s="33">
        <f t="shared" si="101"/>
        <v>40650</v>
      </c>
      <c r="P554" s="33" t="s">
        <v>94</v>
      </c>
      <c r="Q554" s="34" t="s">
        <v>95</v>
      </c>
      <c r="R554" s="3" t="str">
        <f t="shared" si="99"/>
        <v>"2":{"type":"con","dst_persist":"n","src":{"30650":{"raddr":"172.29.10.69:0","mhdr":"BHb2","name":"NODO-01"},"40650":{"raddr":"172.29.10.70:0","mhdr":"BHb2","name":"NODO-02"}},"dst":{"mode":"server","raddr":"172.19.202.220:0","lport":"3200 BHb2","name":"Vpayment In 2"},"plugin": {"file":"slb_plugin_rm_biciso.so","type":"RM","args": {"nodrop":"n"}}},</v>
      </c>
    </row>
    <row r="555" spans="1:18" ht="15" thickBot="1">
      <c r="A555" s="30"/>
      <c r="B555" s="7" t="s">
        <v>239</v>
      </c>
      <c r="C555" s="7"/>
      <c r="D555" s="8">
        <v>3</v>
      </c>
      <c r="E555" s="8"/>
      <c r="F555" s="8" t="s">
        <v>14</v>
      </c>
      <c r="G555" s="8"/>
      <c r="H555" s="8" t="s">
        <v>55</v>
      </c>
      <c r="I555" s="8" t="s">
        <v>242</v>
      </c>
      <c r="J555" s="8">
        <v>2200</v>
      </c>
      <c r="K555" s="33" t="s">
        <v>55</v>
      </c>
      <c r="L555" s="32" t="str">
        <f t="shared" si="96"/>
        <v>172.29.10.69</v>
      </c>
      <c r="M555" s="33">
        <v>30640</v>
      </c>
      <c r="N555" s="32" t="str">
        <f t="shared" si="97"/>
        <v>172.29.10.70</v>
      </c>
      <c r="O555" s="33">
        <f t="shared" si="101"/>
        <v>40640</v>
      </c>
      <c r="P555" s="33" t="s">
        <v>94</v>
      </c>
      <c r="Q555" s="34" t="s">
        <v>95</v>
      </c>
      <c r="R555" s="3" t="str">
        <f t="shared" si="99"/>
        <v>"3":{"type":"con","dst_persist":"n","src":{"30640":{"raddr":"172.29.10.69:0","mhdr":"BHb2","name":"NODO-01"},"40640":{"raddr":"172.29.10.70:0","mhdr":"BHb2","name":"NODO-02"}},"dst":{"mode":"client","raddr":"172.19.211.103:2200","mhdr":"BHb2","name":"Vpay (VPAY - BASE24) Out 1"},"plugin": {"file":"slb_plugin_rm_biciso.so","type":"RM","args": {"nodrop":"n"}}},</v>
      </c>
    </row>
    <row r="556" spans="1:18" ht="15" thickBot="1">
      <c r="A556" s="40"/>
      <c r="B556" s="16" t="s">
        <v>240</v>
      </c>
      <c r="C556" s="16"/>
      <c r="D556" s="17">
        <v>4</v>
      </c>
      <c r="E556" s="17"/>
      <c r="F556" s="17" t="s">
        <v>14</v>
      </c>
      <c r="G556" s="17"/>
      <c r="H556" s="17" t="s">
        <v>55</v>
      </c>
      <c r="I556" s="17" t="s">
        <v>242</v>
      </c>
      <c r="J556" s="17">
        <v>3200</v>
      </c>
      <c r="K556" s="35" t="s">
        <v>55</v>
      </c>
      <c r="L556" s="32" t="str">
        <f t="shared" si="96"/>
        <v>172.29.10.69</v>
      </c>
      <c r="M556" s="35">
        <v>30660</v>
      </c>
      <c r="N556" s="32" t="str">
        <f t="shared" si="97"/>
        <v>172.29.10.70</v>
      </c>
      <c r="O556" s="35">
        <f t="shared" si="101"/>
        <v>40660</v>
      </c>
      <c r="P556" s="35" t="s">
        <v>94</v>
      </c>
      <c r="Q556" s="36" t="s">
        <v>96</v>
      </c>
      <c r="R556" s="3" t="str">
        <f t="shared" si="99"/>
        <v>"4":{"type":"con","dst_persist":"n","src":{"30660":{"raddr":"172.29.10.69:0","mhdr":"BHb2","name":"NODO-01"},"40660":{"raddr":"172.29.10.70:0","mhdr":"BHb2","name":"NODO-02"}},"dst":{"mode":"client","raddr":"172.19.211.103:3200","mhdr":"BHb2","name":"Vpay (VPAY - BASE24) Out 2"},"plugin": {"file":"slb_plugin_rm_biciso.so","type":"RM","args": {"nodrop":"n"}}}}},</v>
      </c>
    </row>
    <row r="557" spans="1:18" ht="15" thickBot="1">
      <c r="A557" s="47">
        <v>11</v>
      </c>
      <c r="B557" s="23" t="s">
        <v>243</v>
      </c>
      <c r="C557" s="23"/>
      <c r="D557" s="29">
        <v>1</v>
      </c>
      <c r="E557" s="29"/>
      <c r="F557" s="29" t="s">
        <v>8</v>
      </c>
      <c r="G557" s="29" t="s">
        <v>247</v>
      </c>
      <c r="H557" s="29" t="s">
        <v>55</v>
      </c>
      <c r="I557" s="29"/>
      <c r="J557" s="29">
        <v>3539</v>
      </c>
      <c r="K557" s="32" t="s">
        <v>55</v>
      </c>
      <c r="L557" s="32" t="str">
        <f t="shared" si="96"/>
        <v>172.29.10.69</v>
      </c>
      <c r="M557" s="32">
        <v>30560</v>
      </c>
      <c r="N557" s="32" t="str">
        <f t="shared" si="97"/>
        <v>172.29.10.70</v>
      </c>
      <c r="O557" s="32">
        <f t="shared" si="101"/>
        <v>40560</v>
      </c>
      <c r="P557" s="32" t="s">
        <v>94</v>
      </c>
      <c r="Q557" s="49" t="s">
        <v>95</v>
      </c>
      <c r="R557" s="3" t="str">
        <f t="shared" si="99"/>
        <v>"11":{"rules":{"1":{"type":"con","dst_persist":"n","src":{"30560":{"raddr":"172.29.10.69:0","mhdr":"BHb2","name":"NODO-01"},"40560":{"raddr":"172.29.10.70:0","mhdr":"BHb2","name":"NODO-02"}},"dst":{"mode":"server","raddr":"172.19.202.212:0","lport":"3539 BHb2","name":"Pago Automatico In 1"},"plugin": {"file":"slb_plugin_rm_biciso.so","type":"RM","args": {"nodrop":"n"}}},</v>
      </c>
    </row>
    <row r="558" spans="1:18" ht="15" thickBot="1">
      <c r="A558" s="30"/>
      <c r="B558" s="7" t="s">
        <v>244</v>
      </c>
      <c r="C558" s="7"/>
      <c r="D558" s="8">
        <v>2</v>
      </c>
      <c r="E558" s="8"/>
      <c r="F558" s="8" t="s">
        <v>8</v>
      </c>
      <c r="G558" s="8" t="s">
        <v>248</v>
      </c>
      <c r="H558" s="8" t="s">
        <v>55</v>
      </c>
      <c r="I558" s="8"/>
      <c r="J558" s="8">
        <v>3540</v>
      </c>
      <c r="K558" s="33" t="s">
        <v>55</v>
      </c>
      <c r="L558" s="32" t="str">
        <f t="shared" si="96"/>
        <v>172.29.10.69</v>
      </c>
      <c r="M558" s="33">
        <v>30580</v>
      </c>
      <c r="N558" s="32" t="str">
        <f t="shared" si="97"/>
        <v>172.29.10.70</v>
      </c>
      <c r="O558" s="33">
        <f t="shared" si="101"/>
        <v>40580</v>
      </c>
      <c r="P558" s="33" t="s">
        <v>94</v>
      </c>
      <c r="Q558" s="34" t="s">
        <v>95</v>
      </c>
      <c r="R558" s="3" t="str">
        <f t="shared" si="99"/>
        <v>"2":{"type":"con","dst_persist":"n","src":{"30580":{"raddr":"172.29.10.69:0","mhdr":"BHb2","name":"NODO-01"},"40580":{"raddr":"172.29.10.70:0","mhdr":"BHb2","name":"NODO-02"}},"dst":{"mode":"server","raddr":"172.19.202.213:0","lport":"3540 BHb2","name":"Pago Automatico In 2"},"plugin": {"file":"slb_plugin_rm_biciso.so","type":"RM","args": {"nodrop":"n"}}},</v>
      </c>
    </row>
    <row r="559" spans="1:18" ht="15" thickBot="1">
      <c r="A559" s="30"/>
      <c r="B559" s="7" t="s">
        <v>245</v>
      </c>
      <c r="C559" s="7"/>
      <c r="D559" s="8">
        <v>3</v>
      </c>
      <c r="E559" s="8"/>
      <c r="F559" s="8" t="s">
        <v>14</v>
      </c>
      <c r="G559" s="8"/>
      <c r="H559" s="8" t="s">
        <v>55</v>
      </c>
      <c r="I559" s="8" t="s">
        <v>242</v>
      </c>
      <c r="J559" s="8">
        <v>3539</v>
      </c>
      <c r="K559" s="33" t="s">
        <v>55</v>
      </c>
      <c r="L559" s="32" t="str">
        <f t="shared" si="96"/>
        <v>172.29.10.69</v>
      </c>
      <c r="M559" s="33">
        <v>30570</v>
      </c>
      <c r="N559" s="32" t="str">
        <f t="shared" si="97"/>
        <v>172.29.10.70</v>
      </c>
      <c r="O559" s="33">
        <f t="shared" si="101"/>
        <v>40570</v>
      </c>
      <c r="P559" s="33" t="s">
        <v>94</v>
      </c>
      <c r="Q559" s="34" t="s">
        <v>95</v>
      </c>
      <c r="R559" s="3" t="str">
        <f t="shared" si="99"/>
        <v>"3":{"type":"con","dst_persist":"n","src":{"30570":{"raddr":"172.29.10.69:0","mhdr":"BHb2","name":"NODO-01"},"40570":{"raddr":"172.29.10.70:0","mhdr":"BHb2","name":"NODO-02"}},"dst":{"mode":"client","raddr":"172.19.211.103:3539","mhdr":"BHb2","name":"PA (PA - BASE24) Out 1"},"plugin": {"file":"slb_plugin_rm_biciso.so","type":"RM","args": {"nodrop":"n"}}},</v>
      </c>
    </row>
    <row r="560" spans="1:18" ht="15" thickBot="1">
      <c r="A560" s="40"/>
      <c r="B560" s="16" t="s">
        <v>246</v>
      </c>
      <c r="C560" s="16"/>
      <c r="D560" s="17">
        <v>4</v>
      </c>
      <c r="E560" s="17"/>
      <c r="F560" s="17" t="s">
        <v>14</v>
      </c>
      <c r="G560" s="17"/>
      <c r="H560" s="17" t="s">
        <v>55</v>
      </c>
      <c r="I560" s="17" t="s">
        <v>242</v>
      </c>
      <c r="J560" s="17">
        <v>3540</v>
      </c>
      <c r="K560" s="35" t="s">
        <v>55</v>
      </c>
      <c r="L560" s="32" t="str">
        <f t="shared" si="96"/>
        <v>172.29.10.69</v>
      </c>
      <c r="M560" s="35">
        <v>30590</v>
      </c>
      <c r="N560" s="32" t="str">
        <f t="shared" si="97"/>
        <v>172.29.10.70</v>
      </c>
      <c r="O560" s="35">
        <f t="shared" si="101"/>
        <v>40590</v>
      </c>
      <c r="P560" s="35" t="s">
        <v>94</v>
      </c>
      <c r="Q560" s="36" t="s">
        <v>96</v>
      </c>
      <c r="R560" s="3" t="str">
        <f t="shared" si="99"/>
        <v>"4":{"type":"con","dst_persist":"n","src":{"30590":{"raddr":"172.29.10.69:0","mhdr":"BHb2","name":"NODO-01"},"40590":{"raddr":"172.29.10.70:0","mhdr":"BHb2","name":"NODO-02"}},"dst":{"mode":"client","raddr":"172.19.211.103:3540","mhdr":"BHb2","name":"PA (PA - BASE24) Out 2"},"plugin": {"file":"slb_plugin_rm_biciso.so","type":"RM","args": {"nodrop":"n"}}}}},</v>
      </c>
    </row>
    <row r="561" spans="1:18" ht="15" thickBot="1">
      <c r="A561" s="47">
        <v>12</v>
      </c>
      <c r="B561" s="23" t="s">
        <v>112</v>
      </c>
      <c r="C561" s="23"/>
      <c r="D561" s="29">
        <v>1</v>
      </c>
      <c r="E561" s="29"/>
      <c r="F561" s="29" t="s">
        <v>8</v>
      </c>
      <c r="G561" s="29" t="s">
        <v>249</v>
      </c>
      <c r="H561" s="29" t="s">
        <v>437</v>
      </c>
      <c r="I561" s="29"/>
      <c r="J561" s="29">
        <v>2214</v>
      </c>
      <c r="K561" s="32" t="s">
        <v>437</v>
      </c>
      <c r="L561" s="32" t="str">
        <f t="shared" si="96"/>
        <v>172.29.10.69</v>
      </c>
      <c r="M561" s="32">
        <v>32214</v>
      </c>
      <c r="N561" s="33" t="s">
        <v>94</v>
      </c>
      <c r="O561" s="33" t="s">
        <v>95</v>
      </c>
      <c r="P561" s="52"/>
      <c r="Q561" s="45"/>
      <c r="R561" s="3" t="str">
        <f>CONCATENATE(IF(A561&lt;&gt;"",CONCATENATE("""",A561,"""",":{","""","rules","""",":{"),""),"""",D561,""":{""type"":""con"",""dst_persist"":""n"",""src"":{""",M561,""":{""raddr"":""",L561,":0"",""mhdr"":""",K561,""",","""name""",":","""NODO-01","""}},","""dst"":{""mode"":""",F561,""",""raddr"":""",IF(F561="server",G561,I561),":",IF(F561="server",0,J561),""",""",IF(F561="server","lport","mhdr"),""":""",IF(F561="server",J561,""),IF(F561="server"," ",""),K561,""",","""name""",":","""",B561,IF(N561&lt;&gt;"",CONCATENATE("""},","""plugin""",": {","""file""",":""",N561,""",","""type""",":","""","RM""",",","""args""",": {","""nodrop""",":","""n""","}")),O561)</f>
        <v>"12":{"rules":{"1":{"type":"con","dst_persist":"n","src":{"32214":{"raddr":"172.29.10.69:0","mhdr":"iBHb2","name":"NODO-01"}},"dst":{"mode":"server","raddr":"10.1.3.138:0","lport":"2214 iBHb2","name":"Itau In 1"},"plugin": {"file":"slb_plugin_rm_biciso.so","type":"RM","args": {"nodrop":"n"}}},</v>
      </c>
    </row>
    <row r="562" spans="1:18" ht="15" thickBot="1">
      <c r="A562" s="30"/>
      <c r="B562" s="7" t="s">
        <v>113</v>
      </c>
      <c r="C562" s="7"/>
      <c r="D562" s="8">
        <v>2</v>
      </c>
      <c r="E562" s="8"/>
      <c r="F562" s="8" t="s">
        <v>8</v>
      </c>
      <c r="G562" s="8" t="s">
        <v>249</v>
      </c>
      <c r="H562" s="8" t="s">
        <v>437</v>
      </c>
      <c r="I562" s="8"/>
      <c r="J562" s="8">
        <v>3214</v>
      </c>
      <c r="K562" s="33" t="s">
        <v>437</v>
      </c>
      <c r="L562" s="32" t="str">
        <f t="shared" si="96"/>
        <v>172.29.10.69</v>
      </c>
      <c r="M562" s="33">
        <v>33214</v>
      </c>
      <c r="N562" s="33" t="s">
        <v>94</v>
      </c>
      <c r="O562" s="33" t="s">
        <v>95</v>
      </c>
      <c r="P562" s="52"/>
      <c r="Q562" s="2"/>
      <c r="R562" s="3" t="str">
        <f>CONCATENATE(IF(A562&lt;&gt;"",CONCATENATE("""",A562,"""",":{","""","rules","""",":{"),""),"""",D562,""":{""type"":""con"",""dst_persist"":""n"",""src"":{""",M562,""":{""raddr"":""",L562,":0"",""mhdr"":""",K562,""",","""name""",":","""NODO-01","""}},","""dst"":{""mode"":""",F562,""",""raddr"":""",IF(F562="server",G562,I562),":",IF(F562="server",0,J562),""",""",IF(F562="server","lport","mhdr"),""":""",IF(F562="server",J562,""),IF(F562="server"," ",""),K562,""",","""name""",":","""",B562,IF(N562&lt;&gt;"",CONCATENATE("""},","""plugin""",": {","""file""",":""",N562,""",","""type""",":","""","RM""",",","""args""",": {","""nodrop""",":","""n""","}")),O562)</f>
        <v>"2":{"type":"con","dst_persist":"n","src":{"33214":{"raddr":"172.29.10.69:0","mhdr":"iBHb2","name":"NODO-01"}},"dst":{"mode":"server","raddr":"10.1.3.138:0","lport":"3214 iBHb2","name":"Itau In 2"},"plugin": {"file":"slb_plugin_rm_biciso.so","type":"RM","args": {"nodrop":"n"}}},</v>
      </c>
    </row>
    <row r="563" spans="1:18" ht="15" thickBot="1">
      <c r="A563" s="30"/>
      <c r="B563" s="7" t="s">
        <v>114</v>
      </c>
      <c r="C563" s="7"/>
      <c r="D563" s="8">
        <v>3</v>
      </c>
      <c r="E563" s="8"/>
      <c r="F563" s="8" t="s">
        <v>14</v>
      </c>
      <c r="G563" s="8"/>
      <c r="H563" s="8" t="s">
        <v>437</v>
      </c>
      <c r="I563" s="8" t="s">
        <v>236</v>
      </c>
      <c r="J563" s="8">
        <v>2214</v>
      </c>
      <c r="K563" s="33" t="s">
        <v>437</v>
      </c>
      <c r="L563" s="32" t="str">
        <f t="shared" si="96"/>
        <v>172.29.10.69</v>
      </c>
      <c r="M563" s="33">
        <v>52214</v>
      </c>
      <c r="N563" s="32" t="str">
        <f t="shared" si="97"/>
        <v>172.29.10.70</v>
      </c>
      <c r="O563" s="34">
        <f>+M563-30000</f>
        <v>22214</v>
      </c>
      <c r="P563" s="53" t="s">
        <v>94</v>
      </c>
      <c r="Q563" s="33" t="s">
        <v>95</v>
      </c>
      <c r="R563" s="3" t="str">
        <f>CONCATENATE(IF(A563&lt;&gt;"",CONCATENATE("""",A563,"""",":{","""","rules","""",":{"),""),"""",D563,""":{""type"":""con"",""dst_persist"":""n"",""src"":{""",M563,""":{""raddr"":""",L563,":0"",""mhdr"":""",K563,""",","""name""",":","""NODO-01","""},""",O563,""":{""raddr"":""",N563,":0"",""mhdr"":""",K563,""",","""name""",":","""NODO-02","""}},","""dst"":{""mode"":""",F563,""",""raddr"":""",IF(F563="server",G563,I563),":",IF(F563="server",0,J563),""",""",IF(F563="server","lport","mhdr"),""":""",IF(F563="server",J563,""),IF(F563="server"," ",""),K563,""",","""name""",":","""",B563,IF(P563&lt;&gt;"",CONCATENATE("""},","""plugin""",": {","""file""",":""",P563,""",","""type""",":","""","RM""",",","""args""",": {","""nodrop""",":","""n""","}")),Q563)</f>
        <v>"3":{"type":"con","dst_persist":"n","src":{"52214":{"raddr":"172.29.10.69:0","mhdr":"iBHb2","name":"NODO-01"},"22214":{"raddr":"172.29.10.70:0","mhdr":"iBHb2","name":"NODO-02"}},"dst":{"mode":"client","raddr":"172.19.211.102:2214","mhdr":"iBHb2","name":"Itau Out 1"},"plugin": {"file":"slb_plugin_rm_biciso.so","type":"RM","args": {"nodrop":"n"}}},</v>
      </c>
    </row>
    <row r="564" spans="1:18" ht="15" thickBot="1">
      <c r="A564" s="40"/>
      <c r="B564" s="16" t="s">
        <v>115</v>
      </c>
      <c r="C564" s="16"/>
      <c r="D564" s="17">
        <v>4</v>
      </c>
      <c r="E564" s="17"/>
      <c r="F564" s="17" t="s">
        <v>14</v>
      </c>
      <c r="G564" s="17"/>
      <c r="H564" s="17" t="s">
        <v>437</v>
      </c>
      <c r="I564" s="17" t="s">
        <v>236</v>
      </c>
      <c r="J564" s="17">
        <v>3214</v>
      </c>
      <c r="K564" s="35" t="s">
        <v>437</v>
      </c>
      <c r="L564" s="32" t="str">
        <f t="shared" si="96"/>
        <v>172.29.10.69</v>
      </c>
      <c r="M564" s="35">
        <v>53214</v>
      </c>
      <c r="N564" s="32" t="str">
        <f t="shared" si="97"/>
        <v>172.29.10.70</v>
      </c>
      <c r="O564" s="36">
        <f>+M564-30000</f>
        <v>23214</v>
      </c>
      <c r="P564" s="53" t="s">
        <v>94</v>
      </c>
      <c r="Q564" s="33" t="s">
        <v>96</v>
      </c>
      <c r="R564" s="3" t="str">
        <f t="shared" ref="R564:R580" si="102">CONCATENATE(IF(A564&lt;&gt;"",CONCATENATE("""",A564,"""",":{","""","rules","""",":{"),""),"""",D564,""":{""type"":""con"",""dst_persist"":""n"",""src"":{""",M564,""":{""raddr"":""",L564,":0"",""mhdr"":""",K564,""",","""name""",":","""NODO-01","""},""",O564,""":{""raddr"":""",N564,":0"",""mhdr"":""",K564,""",","""name""",":","""NODO-02","""}},","""dst"":{""mode"":""",F564,""",""raddr"":""",IF(F564="server",G564,I564),":",IF(F564="server",0,J564),""",""",IF(F564="server","lport","mhdr"),""":""",IF(F564="server",J564,""),IF(F564="server"," ",""),K564,""",","""name""",":","""",B564,IF(P564&lt;&gt;"",CONCATENATE("""},","""plugin""",": {","""file""",":""",P564,""",","""type""",":","""","RM""",",","""args""",": {","""nodrop""",":","""n""","}")),Q564)</f>
        <v>"4":{"type":"con","dst_persist":"n","src":{"53214":{"raddr":"172.29.10.69:0","mhdr":"iBHb2","name":"NODO-01"},"23214":{"raddr":"172.29.10.70:0","mhdr":"iBHb2","name":"NODO-02"}},"dst":{"mode":"client","raddr":"172.19.211.102:3214","mhdr":"iBHb2","name":"Itau Out 2"},"plugin": {"file":"slb_plugin_rm_biciso.so","type":"RM","args": {"nodrop":"n"}}}}},</v>
      </c>
    </row>
    <row r="565" spans="1:18" ht="15" thickBot="1">
      <c r="A565" s="47">
        <v>13</v>
      </c>
      <c r="B565" s="10" t="s">
        <v>1439</v>
      </c>
      <c r="C565" s="10"/>
      <c r="D565" s="29">
        <v>1</v>
      </c>
      <c r="E565" s="29"/>
      <c r="F565" s="29" t="s">
        <v>8</v>
      </c>
      <c r="G565" s="11" t="s">
        <v>1447</v>
      </c>
      <c r="H565" s="11" t="s">
        <v>55</v>
      </c>
      <c r="I565" s="29"/>
      <c r="J565" s="11">
        <v>8501</v>
      </c>
      <c r="K565" s="32" t="s">
        <v>55</v>
      </c>
      <c r="L565" s="32" t="str">
        <f t="shared" si="96"/>
        <v>172.29.10.69</v>
      </c>
      <c r="M565" s="48">
        <f>J565+30000</f>
        <v>38501</v>
      </c>
      <c r="N565" s="32" t="str">
        <f t="shared" si="97"/>
        <v>172.29.10.70</v>
      </c>
      <c r="O565" s="48">
        <f>+M565+10000</f>
        <v>48501</v>
      </c>
      <c r="P565" s="32" t="s">
        <v>94</v>
      </c>
      <c r="Q565" s="49" t="s">
        <v>95</v>
      </c>
      <c r="R565" s="3" t="str">
        <f t="shared" si="102"/>
        <v>"13":{"rules":{"1":{"type":"con","dst_persist":"n","src":{"38501":{"raddr":"172.29.10.69:0","mhdr":"BHb2","name":"NODO-01"},"48501":{"raddr":"172.29.10.70:0","mhdr":"BHb2","name":"NODO-02"}},"dst":{"mode":"server","raddr":"10.1.5.70:0","lport":"8501 BHb2","name":"MPOS Verifone In 1"},"plugin": {"file":"slb_plugin_rm_biciso.so","type":"RM","args": {"nodrop":"n"}}},</v>
      </c>
    </row>
    <row r="566" spans="1:18" ht="15" thickBot="1">
      <c r="A566" s="30"/>
      <c r="B566" s="10" t="s">
        <v>1440</v>
      </c>
      <c r="C566" s="2"/>
      <c r="D566" s="8">
        <v>2</v>
      </c>
      <c r="E566" s="8"/>
      <c r="F566" s="8" t="s">
        <v>8</v>
      </c>
      <c r="G566" s="6" t="s">
        <v>1447</v>
      </c>
      <c r="H566" s="6" t="s">
        <v>55</v>
      </c>
      <c r="I566" s="8"/>
      <c r="J566" s="6">
        <v>8502</v>
      </c>
      <c r="K566" s="33" t="s">
        <v>55</v>
      </c>
      <c r="L566" s="32" t="str">
        <f t="shared" si="96"/>
        <v>172.29.10.69</v>
      </c>
      <c r="M566" s="48">
        <f t="shared" ref="M566:M568" si="103">J566+30000</f>
        <v>38502</v>
      </c>
      <c r="N566" s="32" t="str">
        <f t="shared" si="97"/>
        <v>172.29.10.70</v>
      </c>
      <c r="O566" s="46">
        <f t="shared" ref="O566:O576" si="104">+M566+10000</f>
        <v>48502</v>
      </c>
      <c r="P566" s="32" t="s">
        <v>94</v>
      </c>
      <c r="Q566" s="34" t="s">
        <v>95</v>
      </c>
      <c r="R566" s="3" t="str">
        <f t="shared" si="102"/>
        <v>"2":{"type":"con","dst_persist":"n","src":{"38502":{"raddr":"172.29.10.69:0","mhdr":"BHb2","name":"NODO-01"},"48502":{"raddr":"172.29.10.70:0","mhdr":"BHb2","name":"NODO-02"}},"dst":{"mode":"server","raddr":"10.1.5.70:0","lport":"8502 BHb2","name":"MPOS Verifone In 2"},"plugin": {"file":"slb_plugin_rm_biciso.so","type":"RM","args": {"nodrop":"n"}}},</v>
      </c>
    </row>
    <row r="567" spans="1:18" ht="15" thickBot="1">
      <c r="A567" s="30"/>
      <c r="B567" s="10" t="s">
        <v>1441</v>
      </c>
      <c r="C567" s="2"/>
      <c r="D567" s="8">
        <v>3</v>
      </c>
      <c r="E567" s="8"/>
      <c r="F567" s="8" t="s">
        <v>8</v>
      </c>
      <c r="G567" s="6" t="s">
        <v>1447</v>
      </c>
      <c r="H567" s="6" t="s">
        <v>55</v>
      </c>
      <c r="I567" s="8"/>
      <c r="J567" s="6">
        <v>8503</v>
      </c>
      <c r="K567" s="33" t="s">
        <v>55</v>
      </c>
      <c r="L567" s="32" t="str">
        <f t="shared" si="96"/>
        <v>172.29.10.69</v>
      </c>
      <c r="M567" s="48">
        <f t="shared" si="103"/>
        <v>38503</v>
      </c>
      <c r="N567" s="32" t="str">
        <f t="shared" si="97"/>
        <v>172.29.10.70</v>
      </c>
      <c r="O567" s="46">
        <f t="shared" si="104"/>
        <v>48503</v>
      </c>
      <c r="P567" s="32" t="s">
        <v>94</v>
      </c>
      <c r="Q567" s="34" t="s">
        <v>95</v>
      </c>
      <c r="R567" s="3" t="str">
        <f t="shared" si="102"/>
        <v>"3":{"type":"con","dst_persist":"n","src":{"38503":{"raddr":"172.29.10.69:0","mhdr":"BHb2","name":"NODO-01"},"48503":{"raddr":"172.29.10.70:0","mhdr":"BHb2","name":"NODO-02"}},"dst":{"mode":"server","raddr":"10.1.5.70:0","lport":"8503 BHb2","name":"MPOS Verifone In 3"},"plugin": {"file":"slb_plugin_rm_biciso.so","type":"RM","args": {"nodrop":"n"}}},</v>
      </c>
    </row>
    <row r="568" spans="1:18" ht="15" thickBot="1">
      <c r="A568" s="30"/>
      <c r="B568" s="10" t="s">
        <v>1442</v>
      </c>
      <c r="C568" s="2"/>
      <c r="D568" s="8">
        <v>4</v>
      </c>
      <c r="E568" s="8"/>
      <c r="F568" s="8" t="s">
        <v>8</v>
      </c>
      <c r="G568" s="6" t="s">
        <v>1447</v>
      </c>
      <c r="H568" s="6" t="s">
        <v>55</v>
      </c>
      <c r="I568" s="8"/>
      <c r="J568" s="6">
        <v>8504</v>
      </c>
      <c r="K568" s="33" t="s">
        <v>55</v>
      </c>
      <c r="L568" s="32" t="str">
        <f t="shared" si="96"/>
        <v>172.29.10.69</v>
      </c>
      <c r="M568" s="48">
        <f t="shared" si="103"/>
        <v>38504</v>
      </c>
      <c r="N568" s="32" t="str">
        <f t="shared" si="97"/>
        <v>172.29.10.70</v>
      </c>
      <c r="O568" s="46">
        <f t="shared" si="104"/>
        <v>48504</v>
      </c>
      <c r="P568" s="32" t="s">
        <v>94</v>
      </c>
      <c r="Q568" s="34" t="s">
        <v>95</v>
      </c>
      <c r="R568" s="3" t="str">
        <f t="shared" si="102"/>
        <v>"4":{"type":"con","dst_persist":"n","src":{"38504":{"raddr":"172.29.10.69:0","mhdr":"BHb2","name":"NODO-01"},"48504":{"raddr":"172.29.10.70:0","mhdr":"BHb2","name":"NODO-02"}},"dst":{"mode":"server","raddr":"10.1.5.70:0","lport":"8504 BHb2","name":"MPOS Verifone In 4"},"plugin": {"file":"slb_plugin_rm_biciso.so","type":"RM","args": {"nodrop":"n"}}},</v>
      </c>
    </row>
    <row r="569" spans="1:18" ht="15" thickBot="1">
      <c r="A569" s="12"/>
      <c r="B569" s="2" t="s">
        <v>1443</v>
      </c>
      <c r="C569" s="2"/>
      <c r="D569" s="6">
        <v>5</v>
      </c>
      <c r="E569" s="6"/>
      <c r="F569" s="6" t="s">
        <v>14</v>
      </c>
      <c r="G569" s="6"/>
      <c r="H569" s="6" t="s">
        <v>55</v>
      </c>
      <c r="I569" s="6" t="s">
        <v>242</v>
      </c>
      <c r="J569" s="11">
        <v>8501</v>
      </c>
      <c r="K569" s="33" t="s">
        <v>55</v>
      </c>
      <c r="L569" s="32" t="str">
        <f t="shared" si="96"/>
        <v>172.29.10.69</v>
      </c>
      <c r="M569" s="48">
        <f>J569+30010</f>
        <v>38511</v>
      </c>
      <c r="N569" s="32" t="str">
        <f t="shared" si="97"/>
        <v>172.29.10.70</v>
      </c>
      <c r="O569" s="46">
        <f t="shared" si="104"/>
        <v>48511</v>
      </c>
      <c r="P569" s="32" t="s">
        <v>94</v>
      </c>
      <c r="Q569" s="34" t="s">
        <v>95</v>
      </c>
      <c r="R569" s="3" t="str">
        <f t="shared" si="102"/>
        <v>"5":{"type":"con","dst_persist":"n","src":{"38511":{"raddr":"172.29.10.69:0","mhdr":"BHb2","name":"NODO-01"},"48511":{"raddr":"172.29.10.70:0","mhdr":"BHb2","name":"NODO-02"}},"dst":{"mode":"client","raddr":"172.19.211.103:8501","mhdr":"BHb2","name":"MPOS Verifone Out 1"},"plugin": {"file":"slb_plugin_rm_biciso.so","type":"RM","args": {"nodrop":"n"}}},</v>
      </c>
    </row>
    <row r="570" spans="1:18" ht="15" thickBot="1">
      <c r="A570" s="12"/>
      <c r="B570" s="2" t="s">
        <v>1444</v>
      </c>
      <c r="C570" s="2"/>
      <c r="D570" s="6">
        <v>6</v>
      </c>
      <c r="E570" s="6"/>
      <c r="F570" s="6" t="s">
        <v>14</v>
      </c>
      <c r="G570" s="6"/>
      <c r="H570" s="6" t="s">
        <v>55</v>
      </c>
      <c r="I570" s="6" t="s">
        <v>242</v>
      </c>
      <c r="J570" s="6">
        <v>8502</v>
      </c>
      <c r="K570" s="33" t="s">
        <v>55</v>
      </c>
      <c r="L570" s="32" t="str">
        <f t="shared" si="96"/>
        <v>172.29.10.69</v>
      </c>
      <c r="M570" s="48">
        <f t="shared" ref="M570:M572" si="105">J570+30010</f>
        <v>38512</v>
      </c>
      <c r="N570" s="32" t="str">
        <f t="shared" si="97"/>
        <v>172.29.10.70</v>
      </c>
      <c r="O570" s="46">
        <f t="shared" si="104"/>
        <v>48512</v>
      </c>
      <c r="P570" s="32" t="s">
        <v>94</v>
      </c>
      <c r="Q570" s="34" t="s">
        <v>95</v>
      </c>
      <c r="R570" s="3" t="str">
        <f t="shared" si="102"/>
        <v>"6":{"type":"con","dst_persist":"n","src":{"38512":{"raddr":"172.29.10.69:0","mhdr":"BHb2","name":"NODO-01"},"48512":{"raddr":"172.29.10.70:0","mhdr":"BHb2","name":"NODO-02"}},"dst":{"mode":"client","raddr":"172.19.211.103:8502","mhdr":"BHb2","name":"MPOS Verifone Out 2"},"plugin": {"file":"slb_plugin_rm_biciso.so","type":"RM","args": {"nodrop":"n"}}},</v>
      </c>
    </row>
    <row r="571" spans="1:18" ht="15" thickBot="1">
      <c r="A571" s="12"/>
      <c r="B571" s="2" t="s">
        <v>1445</v>
      </c>
      <c r="C571" s="2"/>
      <c r="D571" s="6">
        <v>7</v>
      </c>
      <c r="E571" s="6"/>
      <c r="F571" s="6" t="s">
        <v>14</v>
      </c>
      <c r="G571" s="6"/>
      <c r="H571" s="6" t="s">
        <v>55</v>
      </c>
      <c r="I571" s="6" t="s">
        <v>242</v>
      </c>
      <c r="J571" s="6">
        <v>8503</v>
      </c>
      <c r="K571" s="33" t="s">
        <v>55</v>
      </c>
      <c r="L571" s="32" t="str">
        <f t="shared" si="96"/>
        <v>172.29.10.69</v>
      </c>
      <c r="M571" s="48">
        <f t="shared" si="105"/>
        <v>38513</v>
      </c>
      <c r="N571" s="32" t="str">
        <f t="shared" si="97"/>
        <v>172.29.10.70</v>
      </c>
      <c r="O571" s="46">
        <f t="shared" si="104"/>
        <v>48513</v>
      </c>
      <c r="P571" s="32" t="s">
        <v>94</v>
      </c>
      <c r="Q571" s="34" t="s">
        <v>95</v>
      </c>
      <c r="R571" s="3" t="str">
        <f t="shared" si="102"/>
        <v>"7":{"type":"con","dst_persist":"n","src":{"38513":{"raddr":"172.29.10.69:0","mhdr":"BHb2","name":"NODO-01"},"48513":{"raddr":"172.29.10.70:0","mhdr":"BHb2","name":"NODO-02"}},"dst":{"mode":"client","raddr":"172.19.211.103:8503","mhdr":"BHb2","name":"MPOS Verifone Out 3"},"plugin": {"file":"slb_plugin_rm_biciso.so","type":"RM","args": {"nodrop":"n"}}},</v>
      </c>
    </row>
    <row r="572" spans="1:18" ht="15" thickBot="1">
      <c r="A572" s="13"/>
      <c r="B572" s="2" t="s">
        <v>1446</v>
      </c>
      <c r="C572" s="14"/>
      <c r="D572" s="15">
        <v>8</v>
      </c>
      <c r="E572" s="15"/>
      <c r="F572" s="15" t="s">
        <v>14</v>
      </c>
      <c r="G572" s="15"/>
      <c r="H572" s="15" t="s">
        <v>55</v>
      </c>
      <c r="I572" s="15" t="s">
        <v>242</v>
      </c>
      <c r="J572" s="6">
        <v>8504</v>
      </c>
      <c r="K572" s="35" t="s">
        <v>55</v>
      </c>
      <c r="L572" s="32" t="str">
        <f t="shared" si="96"/>
        <v>172.29.10.69</v>
      </c>
      <c r="M572" s="48">
        <f t="shared" si="105"/>
        <v>38514</v>
      </c>
      <c r="N572" s="32" t="str">
        <f t="shared" si="97"/>
        <v>172.29.10.70</v>
      </c>
      <c r="O572" s="50">
        <f t="shared" si="104"/>
        <v>48514</v>
      </c>
      <c r="P572" s="32" t="s">
        <v>94</v>
      </c>
      <c r="Q572" s="36" t="s">
        <v>96</v>
      </c>
      <c r="R572" s="3" t="str">
        <f t="shared" si="102"/>
        <v>"8":{"type":"con","dst_persist":"n","src":{"38514":{"raddr":"172.29.10.69:0","mhdr":"BHb2","name":"NODO-01"},"48514":{"raddr":"172.29.10.70:0","mhdr":"BHb2","name":"NODO-02"}},"dst":{"mode":"client","raddr":"172.19.211.103:8504","mhdr":"BHb2","name":"MPOS Verifone Out 4"},"plugin": {"file":"slb_plugin_rm_biciso.so","type":"RM","args": {"nodrop":"n"}}}}},</v>
      </c>
    </row>
    <row r="573" spans="1:18" ht="15" thickBot="1">
      <c r="A573" s="47">
        <v>14</v>
      </c>
      <c r="B573" s="23" t="s">
        <v>1448</v>
      </c>
      <c r="C573" s="23"/>
      <c r="D573" s="29">
        <v>1</v>
      </c>
      <c r="E573" s="29"/>
      <c r="F573" s="29" t="s">
        <v>8</v>
      </c>
      <c r="G573" s="29" t="s">
        <v>1452</v>
      </c>
      <c r="H573" s="29" t="s">
        <v>55</v>
      </c>
      <c r="I573" s="29"/>
      <c r="J573" s="29">
        <v>3542</v>
      </c>
      <c r="K573" s="32" t="s">
        <v>55</v>
      </c>
      <c r="L573" s="32" t="str">
        <f t="shared" si="96"/>
        <v>172.29.10.69</v>
      </c>
      <c r="M573" s="32">
        <v>33479</v>
      </c>
      <c r="N573" s="32" t="str">
        <f t="shared" si="97"/>
        <v>172.29.10.70</v>
      </c>
      <c r="O573" s="32">
        <f t="shared" si="104"/>
        <v>43479</v>
      </c>
      <c r="P573" s="32" t="s">
        <v>94</v>
      </c>
      <c r="Q573" s="49" t="s">
        <v>95</v>
      </c>
      <c r="R573" s="3" t="str">
        <f t="shared" si="102"/>
        <v>"14":{"rules":{"1":{"type":"con","dst_persist":"n","src":{"33479":{"raddr":"172.29.10.69:0","mhdr":"BHb2","name":"NODO-01"},"43479":{"raddr":"172.29.10.70:0","mhdr":"BHb2","name":"NODO-02"}},"dst":{"mode":"server","raddr":"10.1.5.72:0","lport":"3542 BHb2","name":"Ipay In 1"},"plugin": {"file":"slb_plugin_rm_biciso.so","type":"RM","args": {"nodrop":"n"}}},</v>
      </c>
    </row>
    <row r="574" spans="1:18" ht="15" thickBot="1">
      <c r="A574" s="30"/>
      <c r="B574" s="23" t="s">
        <v>1449</v>
      </c>
      <c r="C574" s="7"/>
      <c r="D574" s="8">
        <v>2</v>
      </c>
      <c r="E574" s="8"/>
      <c r="F574" s="8" t="s">
        <v>8</v>
      </c>
      <c r="G574" s="8" t="s">
        <v>1452</v>
      </c>
      <c r="H574" s="8" t="s">
        <v>55</v>
      </c>
      <c r="I574" s="8"/>
      <c r="J574" s="8">
        <v>3543</v>
      </c>
      <c r="K574" s="33" t="s">
        <v>55</v>
      </c>
      <c r="L574" s="32" t="str">
        <f t="shared" si="96"/>
        <v>172.29.10.69</v>
      </c>
      <c r="M574" s="33">
        <v>33480</v>
      </c>
      <c r="N574" s="32" t="str">
        <f t="shared" si="97"/>
        <v>172.29.10.70</v>
      </c>
      <c r="O574" s="33">
        <f t="shared" si="104"/>
        <v>43480</v>
      </c>
      <c r="P574" s="33" t="s">
        <v>94</v>
      </c>
      <c r="Q574" s="34" t="s">
        <v>95</v>
      </c>
      <c r="R574" s="3" t="str">
        <f t="shared" si="102"/>
        <v>"2":{"type":"con","dst_persist":"n","src":{"33480":{"raddr":"172.29.10.69:0","mhdr":"BHb2","name":"NODO-01"},"43480":{"raddr":"172.29.10.70:0","mhdr":"BHb2","name":"NODO-02"}},"dst":{"mode":"server","raddr":"10.1.5.72:0","lport":"3543 BHb2","name":"Ipay In 2"},"plugin": {"file":"slb_plugin_rm_biciso.so","type":"RM","args": {"nodrop":"n"}}},</v>
      </c>
    </row>
    <row r="575" spans="1:18" ht="15" thickBot="1">
      <c r="A575" s="30"/>
      <c r="B575" s="23" t="s">
        <v>1450</v>
      </c>
      <c r="C575" s="7"/>
      <c r="D575" s="8">
        <v>3</v>
      </c>
      <c r="E575" s="8"/>
      <c r="F575" s="8" t="s">
        <v>14</v>
      </c>
      <c r="G575" s="8"/>
      <c r="H575" s="8" t="s">
        <v>55</v>
      </c>
      <c r="I575" s="8" t="s">
        <v>242</v>
      </c>
      <c r="J575" s="8">
        <v>3542</v>
      </c>
      <c r="K575" s="33" t="s">
        <v>55</v>
      </c>
      <c r="L575" s="32" t="str">
        <f t="shared" si="96"/>
        <v>172.29.10.69</v>
      </c>
      <c r="M575" s="33">
        <v>33544</v>
      </c>
      <c r="N575" s="32" t="str">
        <f t="shared" si="97"/>
        <v>172.29.10.70</v>
      </c>
      <c r="O575" s="33">
        <f t="shared" si="104"/>
        <v>43544</v>
      </c>
      <c r="P575" s="33" t="s">
        <v>94</v>
      </c>
      <c r="Q575" s="34" t="s">
        <v>95</v>
      </c>
      <c r="R575" s="3" t="str">
        <f t="shared" si="102"/>
        <v>"3":{"type":"con","dst_persist":"n","src":{"33544":{"raddr":"172.29.10.69:0","mhdr":"BHb2","name":"NODO-01"},"43544":{"raddr":"172.29.10.70:0","mhdr":"BHb2","name":"NODO-02"}},"dst":{"mode":"client","raddr":"172.19.211.103:3542","mhdr":"BHb2","name":"Ipay Out 1"},"plugin": {"file":"slb_plugin_rm_biciso.so","type":"RM","args": {"nodrop":"n"}}},</v>
      </c>
    </row>
    <row r="576" spans="1:18" ht="15" thickBot="1">
      <c r="A576" s="40"/>
      <c r="B576" s="23" t="s">
        <v>1451</v>
      </c>
      <c r="C576" s="16"/>
      <c r="D576" s="17">
        <v>4</v>
      </c>
      <c r="E576" s="17"/>
      <c r="F576" s="17" t="s">
        <v>14</v>
      </c>
      <c r="G576" s="17"/>
      <c r="H576" s="17" t="s">
        <v>55</v>
      </c>
      <c r="I576" s="17" t="s">
        <v>242</v>
      </c>
      <c r="J576" s="17">
        <v>3543</v>
      </c>
      <c r="K576" s="35" t="s">
        <v>55</v>
      </c>
      <c r="L576" s="32" t="str">
        <f t="shared" si="96"/>
        <v>172.29.10.69</v>
      </c>
      <c r="M576" s="35">
        <v>33545</v>
      </c>
      <c r="N576" s="32" t="str">
        <f t="shared" si="97"/>
        <v>172.29.10.70</v>
      </c>
      <c r="O576" s="35">
        <f t="shared" si="104"/>
        <v>43545</v>
      </c>
      <c r="P576" s="35" t="s">
        <v>94</v>
      </c>
      <c r="Q576" s="36" t="s">
        <v>96</v>
      </c>
      <c r="R576" s="3" t="str">
        <f t="shared" si="102"/>
        <v>"4":{"type":"con","dst_persist":"n","src":{"33545":{"raddr":"172.29.10.69:0","mhdr":"BHb2","name":"NODO-01"},"43545":{"raddr":"172.29.10.70:0","mhdr":"BHb2","name":"NODO-02"}},"dst":{"mode":"client","raddr":"172.19.211.103:3543","mhdr":"BHb2","name":"Ipay Out 2"},"plugin": {"file":"slb_plugin_rm_biciso.so","type":"RM","args": {"nodrop":"n"}}}}},</v>
      </c>
    </row>
    <row r="577" spans="1:18" ht="15" thickBot="1">
      <c r="A577" s="47">
        <v>15</v>
      </c>
      <c r="B577" s="23" t="s">
        <v>1453</v>
      </c>
      <c r="C577" s="23"/>
      <c r="D577" s="29">
        <v>1</v>
      </c>
      <c r="E577" s="29"/>
      <c r="F577" s="29" t="s">
        <v>8</v>
      </c>
      <c r="G577" s="29" t="s">
        <v>1457</v>
      </c>
      <c r="H577" s="29" t="s">
        <v>55</v>
      </c>
      <c r="I577" s="29"/>
      <c r="J577" s="29">
        <v>2226</v>
      </c>
      <c r="K577" s="32" t="s">
        <v>55</v>
      </c>
      <c r="L577" s="32" t="str">
        <f t="shared" si="96"/>
        <v>172.29.10.69</v>
      </c>
      <c r="M577" s="32">
        <v>35216</v>
      </c>
      <c r="N577" s="32" t="str">
        <f t="shared" si="97"/>
        <v>172.29.10.70</v>
      </c>
      <c r="O577" s="32">
        <f t="shared" ref="O577:O580" si="106">+M577+10000</f>
        <v>45216</v>
      </c>
      <c r="P577" s="32" t="s">
        <v>94</v>
      </c>
      <c r="Q577" s="49" t="s">
        <v>95</v>
      </c>
      <c r="R577" s="3" t="str">
        <f t="shared" si="102"/>
        <v>"15":{"rules":{"1":{"type":"con","dst_persist":"n","src":{"35216":{"raddr":"172.29.10.69:0","mhdr":"BHb2","name":"NODO-01"},"45216":{"raddr":"172.29.10.70:0","mhdr":"BHb2","name":"NODO-02"}},"dst":{"mode":"server","raddr":"10.1.5.71:0","lport":"2226 BHb2","name":"Aviatur In 1"},"plugin": {"file":"slb_plugin_rm_biciso.so","type":"RM","args": {"nodrop":"n"}}},</v>
      </c>
    </row>
    <row r="578" spans="1:18" ht="15" thickBot="1">
      <c r="A578" s="30"/>
      <c r="B578" s="23" t="s">
        <v>1454</v>
      </c>
      <c r="C578" s="7"/>
      <c r="D578" s="8">
        <v>2</v>
      </c>
      <c r="E578" s="8"/>
      <c r="F578" s="8" t="s">
        <v>8</v>
      </c>
      <c r="G578" s="8" t="s">
        <v>1457</v>
      </c>
      <c r="H578" s="8" t="s">
        <v>55</v>
      </c>
      <c r="I578" s="8"/>
      <c r="J578" s="8">
        <v>3226</v>
      </c>
      <c r="K578" s="33" t="s">
        <v>55</v>
      </c>
      <c r="L578" s="32" t="str">
        <f t="shared" si="96"/>
        <v>172.29.10.69</v>
      </c>
      <c r="M578" s="33">
        <v>35217</v>
      </c>
      <c r="N578" s="32" t="str">
        <f t="shared" si="97"/>
        <v>172.29.10.70</v>
      </c>
      <c r="O578" s="33">
        <f t="shared" si="106"/>
        <v>45217</v>
      </c>
      <c r="P578" s="33" t="s">
        <v>94</v>
      </c>
      <c r="Q578" s="34" t="s">
        <v>95</v>
      </c>
      <c r="R578" s="3" t="str">
        <f t="shared" si="102"/>
        <v>"2":{"type":"con","dst_persist":"n","src":{"35217":{"raddr":"172.29.10.69:0","mhdr":"BHb2","name":"NODO-01"},"45217":{"raddr":"172.29.10.70:0","mhdr":"BHb2","name":"NODO-02"}},"dst":{"mode":"server","raddr":"10.1.5.71:0","lport":"3226 BHb2","name":"Aviatur In 2"},"plugin": {"file":"slb_plugin_rm_biciso.so","type":"RM","args": {"nodrop":"n"}}},</v>
      </c>
    </row>
    <row r="579" spans="1:18" ht="15" thickBot="1">
      <c r="A579" s="30"/>
      <c r="B579" s="23" t="s">
        <v>1455</v>
      </c>
      <c r="C579" s="7"/>
      <c r="D579" s="8">
        <v>3</v>
      </c>
      <c r="E579" s="8"/>
      <c r="F579" s="8" t="s">
        <v>14</v>
      </c>
      <c r="G579" s="8"/>
      <c r="H579" s="8" t="s">
        <v>55</v>
      </c>
      <c r="I579" s="8" t="s">
        <v>242</v>
      </c>
      <c r="J579" s="8">
        <v>2226</v>
      </c>
      <c r="K579" s="33" t="s">
        <v>55</v>
      </c>
      <c r="L579" s="32" t="str">
        <f t="shared" si="96"/>
        <v>172.29.10.69</v>
      </c>
      <c r="M579" s="33">
        <v>35226</v>
      </c>
      <c r="N579" s="32" t="str">
        <f t="shared" si="97"/>
        <v>172.29.10.70</v>
      </c>
      <c r="O579" s="33">
        <f t="shared" si="106"/>
        <v>45226</v>
      </c>
      <c r="P579" s="33" t="s">
        <v>94</v>
      </c>
      <c r="Q579" s="34" t="s">
        <v>95</v>
      </c>
      <c r="R579" s="3" t="str">
        <f t="shared" si="102"/>
        <v>"3":{"type":"con","dst_persist":"n","src":{"35226":{"raddr":"172.29.10.69:0","mhdr":"BHb2","name":"NODO-01"},"45226":{"raddr":"172.29.10.70:0","mhdr":"BHb2","name":"NODO-02"}},"dst":{"mode":"client","raddr":"172.19.211.103:2226","mhdr":"BHb2","name":"Aviatur Out 1"},"plugin": {"file":"slb_plugin_rm_biciso.so","type":"RM","args": {"nodrop":"n"}}},</v>
      </c>
    </row>
    <row r="580" spans="1:18" ht="15" thickBot="1">
      <c r="A580" s="40"/>
      <c r="B580" s="23" t="s">
        <v>1456</v>
      </c>
      <c r="C580" s="16"/>
      <c r="D580" s="17">
        <v>4</v>
      </c>
      <c r="E580" s="17"/>
      <c r="F580" s="17" t="s">
        <v>14</v>
      </c>
      <c r="G580" s="17"/>
      <c r="H580" s="17" t="s">
        <v>55</v>
      </c>
      <c r="I580" s="17" t="s">
        <v>242</v>
      </c>
      <c r="J580" s="17">
        <v>3226</v>
      </c>
      <c r="K580" s="35" t="s">
        <v>55</v>
      </c>
      <c r="L580" s="32" t="str">
        <f t="shared" si="96"/>
        <v>172.29.10.69</v>
      </c>
      <c r="M580" s="35">
        <v>35227</v>
      </c>
      <c r="N580" s="32" t="str">
        <f t="shared" si="97"/>
        <v>172.29.10.70</v>
      </c>
      <c r="O580" s="35">
        <f t="shared" si="106"/>
        <v>45227</v>
      </c>
      <c r="P580" s="35" t="s">
        <v>94</v>
      </c>
      <c r="Q580" s="36" t="s">
        <v>96</v>
      </c>
      <c r="R580" s="3" t="str">
        <f t="shared" si="102"/>
        <v>"4":{"type":"con","dst_persist":"n","src":{"35227":{"raddr":"172.29.10.69:0","mhdr":"BHb2","name":"NODO-01"},"45227":{"raddr":"172.29.10.70:0","mhdr":"BHb2","name":"NODO-02"}},"dst":{"mode":"client","raddr":"172.19.211.103:3226","mhdr":"BHb2","name":"Aviatur Out 2"},"plugin": {"file":"slb_plugin_rm_biciso.so","type":"RM","args": {"nodrop":"n"}}}}},</v>
      </c>
    </row>
    <row r="581" spans="1:18" ht="15" thickBot="1">
      <c r="A581" s="74">
        <v>16</v>
      </c>
      <c r="B581" s="75" t="s">
        <v>198</v>
      </c>
      <c r="C581" s="75" t="s">
        <v>497</v>
      </c>
      <c r="D581" s="73">
        <v>1</v>
      </c>
      <c r="E581" s="76" t="s">
        <v>337</v>
      </c>
      <c r="F581" s="73" t="s">
        <v>8</v>
      </c>
      <c r="G581" s="73"/>
      <c r="H581" s="73" t="s">
        <v>437</v>
      </c>
      <c r="I581" s="32" t="str">
        <f>+$B$516</f>
        <v>172.29.10.69</v>
      </c>
      <c r="J581" s="73">
        <v>55218</v>
      </c>
      <c r="K581" s="32" t="s">
        <v>437</v>
      </c>
      <c r="L581" s="73" t="s">
        <v>236</v>
      </c>
      <c r="M581" s="73">
        <v>5218</v>
      </c>
      <c r="N581" s="73" t="s">
        <v>236</v>
      </c>
      <c r="O581" s="73">
        <v>5219</v>
      </c>
      <c r="P581" s="32" t="s">
        <v>94</v>
      </c>
      <c r="Q581" s="49" t="s">
        <v>95</v>
      </c>
      <c r="R581" s="34" t="str">
        <f>CONCATENATE(IF(A581&lt;&gt;"",CONCATENATE("""",A581,"""",":{","""","rules","""",":{"),""),"""",D581,""":{""type"":""con"",""dst_persist"":""n"",""src"":{""",L581,":",M581,""":{""mhdr"":""",K581,""",","""name""",":","""PRM B24 5218 NODO-01","""},""",N581,":",O581,""":{""mhdr"":""",K581,""",","""name""",":","""PRM B24 5219 NODO-01","""}},","""dst"":{""mode"":""",F581,""",""raddr"":""",IF(F581="server",I581,G581),":",IF(F581="server",0,J581),""",""",IF(F581="server","lport","mhdr"),""":""",IF(F581="server",J581,""),IF(F581="server"," ",""),H581,""",","""name""",":","""",B581,IF(P581&lt;&gt;"",CONCATENATE("""},","""plugin""",": {","""file""",":""",P581,""",","""type""",":","""","RM""",",","""args""",": {","""nodrop""",":","""n""","}")),Q581)</f>
        <v>"16":{"rules":{"1":{"type":"con","dst_persist":"n","src":{"172.19.211.102:5218":{"mhdr":"iBHb2","name":"PRM B24 5218 NODO-01"},"172.19.211.102:5219":{"mhdr":"iBHb2","name":"PRM B24 5219 NODO-01"}},"dst":{"mode":"server","raddr":"172.29.10.69:0","lport":"55218 iBHb2","name":"PRM Proceso 1"},"plugin": {"file":"slb_plugin_rm_biciso.so","type":"RM","args": {"nodrop":"n"}}},</v>
      </c>
    </row>
    <row r="582" spans="1:18" ht="15" thickBot="1">
      <c r="A582" s="77"/>
      <c r="B582" s="78" t="s">
        <v>199</v>
      </c>
      <c r="C582" s="78" t="s">
        <v>497</v>
      </c>
      <c r="D582" s="72">
        <v>2</v>
      </c>
      <c r="E582" s="79" t="s">
        <v>338</v>
      </c>
      <c r="F582" s="72" t="s">
        <v>8</v>
      </c>
      <c r="G582" s="72"/>
      <c r="H582" s="72" t="s">
        <v>437</v>
      </c>
      <c r="I582" s="32" t="str">
        <f>+$B$517</f>
        <v>172.29.10.70</v>
      </c>
      <c r="J582" s="72">
        <v>25218</v>
      </c>
      <c r="K582" s="35" t="s">
        <v>437</v>
      </c>
      <c r="L582" s="72" t="s">
        <v>236</v>
      </c>
      <c r="M582" s="72">
        <v>5220</v>
      </c>
      <c r="N582" s="73" t="s">
        <v>236</v>
      </c>
      <c r="O582" s="72">
        <v>5221</v>
      </c>
      <c r="P582" s="35" t="s">
        <v>94</v>
      </c>
      <c r="Q582" s="36" t="s">
        <v>96</v>
      </c>
      <c r="R582" s="34" t="str">
        <f>CONCATENATE(IF(A582&lt;&gt;"",CONCATENATE("""",A582,"""",":{","""","rules","""",":{"),""),"""",D582,""":{""type"":""con"",""dst_persist"":""n"",""src"":{""",L582,":",M582,""":{""mhdr"":""",K582,""",","""name""",":","""PRM B24 5220 NODO-02","""},""",N582,":",O582,""":{""mhdr"":""",K582,""",","""name""",":","""PRM B24 5221 NODO-02","""}},","""dst"":{""mode"":""",F582,""",""raddr"":""",IF(F582="server",I582,G582),":",IF(F582="server",0,J582),""",""",IF(F582="server","lport","mhdr"),""":""",IF(F582="server",J582,""),IF(F582="server"," ",""),H582,""",","""name""",":","""",B582,IF(P582&lt;&gt;"",CONCATENATE("""},","""plugin""",": {","""file""",":""",P582,""",","""type""",":","""","RM""",",","""args""",": {","""nodrop""",":","""n""","}")),Q582)</f>
        <v>"2":{"type":"con","dst_persist":"n","src":{"172.19.211.102:5220":{"mhdr":"iBHb2","name":"PRM B24 5220 NODO-02"},"172.19.211.102:5221":{"mhdr":"iBHb2","name":"PRM B24 5221 NODO-02"}},"dst":{"mode":"server","raddr":"172.29.10.70:0","lport":"25218 iBHb2","name":"PRM Proceso 2"},"plugin": {"file":"slb_plugin_rm_biciso.so","type":"RM","args": {"nodrop":"n"}}}}},</v>
      </c>
    </row>
    <row r="583" spans="1:18" ht="15" thickBot="1">
      <c r="A583" s="47">
        <v>17</v>
      </c>
      <c r="B583" s="23" t="s">
        <v>1458</v>
      </c>
      <c r="C583" s="23"/>
      <c r="D583" s="11">
        <v>1</v>
      </c>
      <c r="E583" s="11"/>
      <c r="F583" s="11" t="s">
        <v>8</v>
      </c>
      <c r="G583" s="11" t="s">
        <v>1466</v>
      </c>
      <c r="H583" s="11" t="s">
        <v>437</v>
      </c>
      <c r="I583" s="11"/>
      <c r="J583" s="11">
        <v>2051</v>
      </c>
      <c r="K583" s="32" t="s">
        <v>437</v>
      </c>
      <c r="L583" s="32" t="str">
        <f t="shared" ref="L583:L630" si="107">$B$516</f>
        <v>172.29.10.69</v>
      </c>
      <c r="M583" s="32">
        <f>J583+30000</f>
        <v>32051</v>
      </c>
      <c r="N583" s="32" t="str">
        <f t="shared" ref="N583:N630" si="108">$B$517</f>
        <v>172.29.10.70</v>
      </c>
      <c r="O583" s="32">
        <f t="shared" ref="O583:O586" si="109">+M583+10000</f>
        <v>42051</v>
      </c>
      <c r="P583" s="35" t="s">
        <v>94</v>
      </c>
      <c r="Q583" s="49" t="s">
        <v>95</v>
      </c>
      <c r="R583" s="3" t="str">
        <f>CONCATENATE(IF(A583&lt;&gt;"",CONCATENATE("""",A583,"""",":{","""","rules","""",":{"),""),"""",D583,""":{""type"":""con"",""dst_persist"":""n"",""src"":{""",M583,""":{""raddr"":""",L583,":0"",""mhdr"":""",K583,""",","""name""",":","""NODO-01","""},""",O583,""":{""raddr"":""",N583,":0"",""mhdr"":""",K583,""",","""name""",":","""NODO-02","""}},","""dst"":{""mode"":""",F583,""",""raddr"":""",IF(F583="server",G583,I583),":",IF(F583="server",0,J583),""",""",IF(F583="server","lport","mhdr"),""":""",IF(F583="server",J583,""),IF(F583="server"," ",""),K583,""",","""name""",":","""",B583,IF(P583&lt;&gt;"",CONCATENATE("""},","""plugin""",": {","""file""",":""",P583,""",","""type""",":","""","RM""",",","""args""",": {","""nodrop""",":","""n""","}")),Q583)</f>
        <v>"17":{"rules":{"1":{"type":"con","dst_persist":"n","src":{"32051":{"raddr":"172.29.10.69:0","mhdr":"iBHb2","name":"NODO-01"},"42051":{"raddr":"172.29.10.70:0","mhdr":"iBHb2","name":"NODO-02"}},"dst":{"mode":"server","raddr":"10.2.34.30:0","lport":"2051 iBHb2","name":"Davivienda In 1"},"plugin": {"file":"slb_plugin_rm_biciso.so","type":"RM","args": {"nodrop":"n"}}},</v>
      </c>
    </row>
    <row r="584" spans="1:18" ht="15" thickBot="1">
      <c r="A584" s="30"/>
      <c r="B584" s="7" t="s">
        <v>1459</v>
      </c>
      <c r="C584" s="7"/>
      <c r="D584" s="6">
        <v>2</v>
      </c>
      <c r="E584" s="6"/>
      <c r="F584" s="6" t="s">
        <v>8</v>
      </c>
      <c r="G584" s="6" t="s">
        <v>1466</v>
      </c>
      <c r="H584" s="6" t="s">
        <v>437</v>
      </c>
      <c r="I584" s="6"/>
      <c r="J584" s="6">
        <v>3051</v>
      </c>
      <c r="K584" s="33" t="s">
        <v>437</v>
      </c>
      <c r="L584" s="32" t="str">
        <f t="shared" si="107"/>
        <v>172.29.10.69</v>
      </c>
      <c r="M584" s="32">
        <f t="shared" ref="M584:M586" si="110">J584+30000</f>
        <v>33051</v>
      </c>
      <c r="N584" s="32" t="str">
        <f t="shared" si="108"/>
        <v>172.29.10.70</v>
      </c>
      <c r="O584" s="33">
        <f t="shared" si="109"/>
        <v>43051</v>
      </c>
      <c r="P584" s="35" t="s">
        <v>94</v>
      </c>
      <c r="Q584" s="34" t="s">
        <v>95</v>
      </c>
      <c r="R584" s="3" t="str">
        <f t="shared" ref="R584:R634" si="111">CONCATENATE(IF(A584&lt;&gt;"",CONCATENATE("""",A584,"""",":{","""","rules","""",":{"),""),"""",D584,""":{""type"":""con"",""dst_persist"":""n"",""src"":{""",M584,""":{""raddr"":""",L584,":0"",""mhdr"":""",K584,""",","""name""",":","""NODO-01","""},""",O584,""":{""raddr"":""",N584,":0"",""mhdr"":""",K584,""",","""name""",":","""NODO-02","""}},","""dst"":{""mode"":""",F584,""",""raddr"":""",IF(F584="server",G584,I584),":",IF(F584="server",0,J584),""",""",IF(F584="server","lport","mhdr"),""":""",IF(F584="server",J584,""),IF(F584="server"," ",""),K584,""",","""name""",":","""",B584,IF(P584&lt;&gt;"",CONCATENATE("""},","""plugin""",": {","""file""",":""",P584,""",","""type""",":","""","RM""",",","""args""",": {","""nodrop""",":","""n""","}")),Q584)</f>
        <v>"2":{"type":"con","dst_persist":"n","src":{"33051":{"raddr":"172.29.10.69:0","mhdr":"iBHb2","name":"NODO-01"},"43051":{"raddr":"172.29.10.70:0","mhdr":"iBHb2","name":"NODO-02"}},"dst":{"mode":"server","raddr":"10.2.34.30:0","lport":"3051 iBHb2","name":"Davivienda In 2"},"plugin": {"file":"slb_plugin_rm_biciso.so","type":"RM","args": {"nodrop":"n"}}},</v>
      </c>
    </row>
    <row r="585" spans="1:18" ht="15" thickBot="1">
      <c r="A585" s="30"/>
      <c r="B585" s="23" t="s">
        <v>1460</v>
      </c>
      <c r="C585" s="7"/>
      <c r="D585" s="8">
        <v>3</v>
      </c>
      <c r="E585" s="8"/>
      <c r="F585" s="8" t="s">
        <v>8</v>
      </c>
      <c r="G585" s="6" t="s">
        <v>1466</v>
      </c>
      <c r="H585" s="6" t="s">
        <v>437</v>
      </c>
      <c r="I585" s="8"/>
      <c r="J585" s="8">
        <v>4051</v>
      </c>
      <c r="K585" s="33" t="s">
        <v>437</v>
      </c>
      <c r="L585" s="32" t="str">
        <f t="shared" si="107"/>
        <v>172.29.10.69</v>
      </c>
      <c r="M585" s="32">
        <f t="shared" si="110"/>
        <v>34051</v>
      </c>
      <c r="N585" s="32" t="str">
        <f t="shared" si="108"/>
        <v>172.29.10.70</v>
      </c>
      <c r="O585" s="33">
        <f t="shared" si="109"/>
        <v>44051</v>
      </c>
      <c r="P585" s="35" t="s">
        <v>94</v>
      </c>
      <c r="Q585" s="34" t="s">
        <v>95</v>
      </c>
      <c r="R585" s="3" t="str">
        <f t="shared" si="111"/>
        <v>"3":{"type":"con","dst_persist":"n","src":{"34051":{"raddr":"172.29.10.69:0","mhdr":"iBHb2","name":"NODO-01"},"44051":{"raddr":"172.29.10.70:0","mhdr":"iBHb2","name":"NODO-02"}},"dst":{"mode":"server","raddr":"10.2.34.30:0","lport":"4051 iBHb2","name":"Davivienda In 3"},"plugin": {"file":"slb_plugin_rm_biciso.so","type":"RM","args": {"nodrop":"n"}}},</v>
      </c>
    </row>
    <row r="586" spans="1:18" ht="15" thickBot="1">
      <c r="A586" s="30"/>
      <c r="B586" s="7" t="s">
        <v>1461</v>
      </c>
      <c r="C586" s="7"/>
      <c r="D586" s="8">
        <v>4</v>
      </c>
      <c r="E586" s="8"/>
      <c r="F586" s="8" t="s">
        <v>8</v>
      </c>
      <c r="G586" s="6" t="s">
        <v>1466</v>
      </c>
      <c r="H586" s="6" t="s">
        <v>437</v>
      </c>
      <c r="I586" s="8"/>
      <c r="J586" s="8">
        <v>5051</v>
      </c>
      <c r="K586" s="33" t="s">
        <v>437</v>
      </c>
      <c r="L586" s="32" t="str">
        <f t="shared" si="107"/>
        <v>172.29.10.69</v>
      </c>
      <c r="M586" s="32">
        <f t="shared" si="110"/>
        <v>35051</v>
      </c>
      <c r="N586" s="32" t="str">
        <f t="shared" si="108"/>
        <v>172.29.10.70</v>
      </c>
      <c r="O586" s="33">
        <f t="shared" si="109"/>
        <v>45051</v>
      </c>
      <c r="P586" s="35" t="s">
        <v>94</v>
      </c>
      <c r="Q586" s="34" t="s">
        <v>95</v>
      </c>
      <c r="R586" s="3" t="str">
        <f t="shared" si="111"/>
        <v>"4":{"type":"con","dst_persist":"n","src":{"35051":{"raddr":"172.29.10.69:0","mhdr":"iBHb2","name":"NODO-01"},"45051":{"raddr":"172.29.10.70:0","mhdr":"iBHb2","name":"NODO-02"}},"dst":{"mode":"server","raddr":"10.2.34.30:0","lport":"5051 iBHb2","name":"Davivienda In 4"},"plugin": {"file":"slb_plugin_rm_biciso.so","type":"RM","args": {"nodrop":"n"}}},</v>
      </c>
    </row>
    <row r="587" spans="1:18" ht="15" thickBot="1">
      <c r="A587" s="30"/>
      <c r="B587" s="23" t="s">
        <v>1462</v>
      </c>
      <c r="C587" s="7"/>
      <c r="D587" s="8">
        <v>5</v>
      </c>
      <c r="E587" s="8"/>
      <c r="F587" s="8" t="s">
        <v>14</v>
      </c>
      <c r="G587" s="8"/>
      <c r="H587" s="8" t="s">
        <v>437</v>
      </c>
      <c r="I587" s="8" t="s">
        <v>231</v>
      </c>
      <c r="J587" s="11">
        <v>2051</v>
      </c>
      <c r="K587" s="33" t="s">
        <v>437</v>
      </c>
      <c r="L587" s="32" t="str">
        <f t="shared" si="107"/>
        <v>172.29.10.69</v>
      </c>
      <c r="M587" s="33">
        <f>J587+50000</f>
        <v>52051</v>
      </c>
      <c r="N587" s="32" t="str">
        <f t="shared" si="108"/>
        <v>172.29.10.70</v>
      </c>
      <c r="O587" s="33">
        <f>+M587-30000</f>
        <v>22051</v>
      </c>
      <c r="P587" s="35" t="s">
        <v>94</v>
      </c>
      <c r="Q587" s="34" t="s">
        <v>95</v>
      </c>
      <c r="R587" s="3" t="str">
        <f t="shared" si="111"/>
        <v>"5":{"type":"con","dst_persist":"n","src":{"52051":{"raddr":"172.29.10.69:0","mhdr":"iBHb2","name":"NODO-01"},"22051":{"raddr":"172.29.10.70:0","mhdr":"iBHb2","name":"NODO-02"}},"dst":{"mode":"client","raddr":"172.19.211.101:2051","mhdr":"iBHb2","name":"Davivienda Out 1"},"plugin": {"file":"slb_plugin_rm_biciso.so","type":"RM","args": {"nodrop":"n"}}},</v>
      </c>
    </row>
    <row r="588" spans="1:18" ht="15" thickBot="1">
      <c r="A588" s="30"/>
      <c r="B588" s="7" t="s">
        <v>1463</v>
      </c>
      <c r="C588" s="7"/>
      <c r="D588" s="8">
        <v>6</v>
      </c>
      <c r="E588" s="8"/>
      <c r="F588" s="8" t="s">
        <v>14</v>
      </c>
      <c r="G588" s="8"/>
      <c r="H588" s="8" t="s">
        <v>437</v>
      </c>
      <c r="I588" s="8" t="s">
        <v>231</v>
      </c>
      <c r="J588" s="6">
        <v>3051</v>
      </c>
      <c r="K588" s="33" t="s">
        <v>437</v>
      </c>
      <c r="L588" s="32" t="str">
        <f t="shared" si="107"/>
        <v>172.29.10.69</v>
      </c>
      <c r="M588" s="33">
        <f t="shared" ref="M588:M590" si="112">J588+50000</f>
        <v>53051</v>
      </c>
      <c r="N588" s="32" t="str">
        <f t="shared" si="108"/>
        <v>172.29.10.70</v>
      </c>
      <c r="O588" s="33">
        <f t="shared" ref="O588:O590" si="113">+M588-30000</f>
        <v>23051</v>
      </c>
      <c r="P588" s="35" t="s">
        <v>94</v>
      </c>
      <c r="Q588" s="34" t="s">
        <v>95</v>
      </c>
      <c r="R588" s="3" t="str">
        <f t="shared" si="111"/>
        <v>"6":{"type":"con","dst_persist":"n","src":{"53051":{"raddr":"172.29.10.69:0","mhdr":"iBHb2","name":"NODO-01"},"23051":{"raddr":"172.29.10.70:0","mhdr":"iBHb2","name":"NODO-02"}},"dst":{"mode":"client","raddr":"172.19.211.101:3051","mhdr":"iBHb2","name":"Davivienda Out 2"},"plugin": {"file":"slb_plugin_rm_biciso.so","type":"RM","args": {"nodrop":"n"}}},</v>
      </c>
    </row>
    <row r="589" spans="1:18" ht="15" thickBot="1">
      <c r="A589" s="30"/>
      <c r="B589" s="23" t="s">
        <v>1464</v>
      </c>
      <c r="C589" s="7"/>
      <c r="D589" s="8">
        <v>7</v>
      </c>
      <c r="E589" s="8"/>
      <c r="F589" s="8" t="s">
        <v>14</v>
      </c>
      <c r="G589" s="8"/>
      <c r="H589" s="8" t="s">
        <v>437</v>
      </c>
      <c r="I589" s="8" t="s">
        <v>231</v>
      </c>
      <c r="J589" s="8">
        <v>4051</v>
      </c>
      <c r="K589" s="33" t="s">
        <v>437</v>
      </c>
      <c r="L589" s="32" t="str">
        <f t="shared" si="107"/>
        <v>172.29.10.69</v>
      </c>
      <c r="M589" s="33">
        <f t="shared" si="112"/>
        <v>54051</v>
      </c>
      <c r="N589" s="32" t="str">
        <f t="shared" si="108"/>
        <v>172.29.10.70</v>
      </c>
      <c r="O589" s="33">
        <f t="shared" si="113"/>
        <v>24051</v>
      </c>
      <c r="P589" s="35" t="s">
        <v>94</v>
      </c>
      <c r="Q589" s="34" t="s">
        <v>95</v>
      </c>
      <c r="R589" s="3" t="str">
        <f t="shared" si="111"/>
        <v>"7":{"type":"con","dst_persist":"n","src":{"54051":{"raddr":"172.29.10.69:0","mhdr":"iBHb2","name":"NODO-01"},"24051":{"raddr":"172.29.10.70:0","mhdr":"iBHb2","name":"NODO-02"}},"dst":{"mode":"client","raddr":"172.19.211.101:4051","mhdr":"iBHb2","name":"Davivienda Out 3"},"plugin": {"file":"slb_plugin_rm_biciso.so","type":"RM","args": {"nodrop":"n"}}},</v>
      </c>
    </row>
    <row r="590" spans="1:18" ht="15" thickBot="1">
      <c r="A590" s="40"/>
      <c r="B590" s="7" t="s">
        <v>1465</v>
      </c>
      <c r="C590" s="16"/>
      <c r="D590" s="17">
        <v>8</v>
      </c>
      <c r="E590" s="17"/>
      <c r="F590" s="17" t="s">
        <v>14</v>
      </c>
      <c r="G590" s="17"/>
      <c r="H590" s="17" t="s">
        <v>437</v>
      </c>
      <c r="I590" s="17" t="s">
        <v>231</v>
      </c>
      <c r="J590" s="8">
        <v>5051</v>
      </c>
      <c r="K590" s="35" t="s">
        <v>437</v>
      </c>
      <c r="L590" s="32" t="str">
        <f t="shared" si="107"/>
        <v>172.29.10.69</v>
      </c>
      <c r="M590" s="33">
        <f t="shared" si="112"/>
        <v>55051</v>
      </c>
      <c r="N590" s="32" t="str">
        <f t="shared" si="108"/>
        <v>172.29.10.70</v>
      </c>
      <c r="O590" s="33">
        <f t="shared" si="113"/>
        <v>25051</v>
      </c>
      <c r="P590" s="35" t="s">
        <v>94</v>
      </c>
      <c r="Q590" s="36" t="s">
        <v>96</v>
      </c>
      <c r="R590" s="3" t="str">
        <f t="shared" si="111"/>
        <v>"8":{"type":"con","dst_persist":"n","src":{"55051":{"raddr":"172.29.10.69:0","mhdr":"iBHb2","name":"NODO-01"},"25051":{"raddr":"172.29.10.70:0","mhdr":"iBHb2","name":"NODO-02"}},"dst":{"mode":"client","raddr":"172.19.211.101:5051","mhdr":"iBHb2","name":"Davivienda Out 4"},"plugin": {"file":"slb_plugin_rm_biciso.so","type":"RM","args": {"nodrop":"n"}}}}},</v>
      </c>
    </row>
    <row r="591" spans="1:18" ht="15" thickBot="1">
      <c r="A591" s="47">
        <v>18</v>
      </c>
      <c r="B591" s="23" t="s">
        <v>1321</v>
      </c>
      <c r="C591" s="23"/>
      <c r="D591" s="29">
        <v>1</v>
      </c>
      <c r="E591" s="29"/>
      <c r="F591" s="29" t="s">
        <v>14</v>
      </c>
      <c r="G591" s="29"/>
      <c r="H591" s="29" t="s">
        <v>437</v>
      </c>
      <c r="I591" s="17" t="s">
        <v>236</v>
      </c>
      <c r="J591" s="29" t="s">
        <v>1285</v>
      </c>
      <c r="K591" s="32" t="s">
        <v>437</v>
      </c>
      <c r="L591" s="32" t="str">
        <f t="shared" si="107"/>
        <v>172.29.10.69</v>
      </c>
      <c r="M591" s="32">
        <f>J591+30000</f>
        <v>37601</v>
      </c>
      <c r="N591" s="32" t="str">
        <f t="shared" si="108"/>
        <v>172.29.10.70</v>
      </c>
      <c r="O591" s="32">
        <f t="shared" ref="O591:O628" si="114">+M591+10000</f>
        <v>47601</v>
      </c>
      <c r="P591" s="32" t="s">
        <v>94</v>
      </c>
      <c r="Q591" s="49" t="s">
        <v>95</v>
      </c>
      <c r="R591" s="3" t="str">
        <f t="shared" si="111"/>
        <v>"18":{"rules":{"1":{"type":"con","dst_persist":"n","src":{"37601":{"raddr":"172.29.10.69:0","mhdr":"iBHb2","name":"NODO-01"},"47601":{"raddr":"172.29.10.70:0","mhdr":"iBHb2","name":"NODO-02"}},"dst":{"mode":"client","raddr":"172.19.211.102:7601","mhdr":"iBHb2","name":"Base24-POS1-01"},"plugin": {"file":"slb_plugin_rm_biciso.so","type":"RM","args": {"nodrop":"n"}}},</v>
      </c>
    </row>
    <row r="592" spans="1:18" ht="15" thickBot="1">
      <c r="A592" s="40"/>
      <c r="B592" s="16" t="s">
        <v>1322</v>
      </c>
      <c r="C592" s="125"/>
      <c r="D592" s="29">
        <v>2</v>
      </c>
      <c r="E592" s="17"/>
      <c r="F592" s="17" t="s">
        <v>14</v>
      </c>
      <c r="G592" s="17"/>
      <c r="H592" s="17" t="s">
        <v>437</v>
      </c>
      <c r="I592" s="17" t="s">
        <v>242</v>
      </c>
      <c r="J592" s="29" t="s">
        <v>1286</v>
      </c>
      <c r="K592" s="35" t="s">
        <v>437</v>
      </c>
      <c r="L592" s="32" t="str">
        <f t="shared" si="107"/>
        <v>172.29.10.69</v>
      </c>
      <c r="M592" s="32">
        <f t="shared" ref="M592:M596" si="115">J592+30000</f>
        <v>37602</v>
      </c>
      <c r="N592" s="32" t="str">
        <f t="shared" si="108"/>
        <v>172.29.10.70</v>
      </c>
      <c r="O592" s="35">
        <f t="shared" si="114"/>
        <v>47602</v>
      </c>
      <c r="P592" s="35" t="s">
        <v>94</v>
      </c>
      <c r="Q592" s="36" t="s">
        <v>95</v>
      </c>
      <c r="R592" s="3" t="str">
        <f t="shared" si="111"/>
        <v>"2":{"type":"con","dst_persist":"n","src":{"37602":{"raddr":"172.29.10.69:0","mhdr":"iBHb2","name":"NODO-01"},"47602":{"raddr":"172.29.10.70:0","mhdr":"iBHb2","name":"NODO-02"}},"dst":{"mode":"client","raddr":"172.19.211.103:7602","mhdr":"iBHb2","name":"Base24-POS1-02"},"plugin": {"file":"slb_plugin_rm_biciso.so","type":"RM","args": {"nodrop":"n"}}},</v>
      </c>
    </row>
    <row r="593" spans="1:18" ht="15" thickBot="1">
      <c r="A593" s="47"/>
      <c r="B593" s="23" t="s">
        <v>1323</v>
      </c>
      <c r="C593" s="23"/>
      <c r="D593" s="29">
        <v>3</v>
      </c>
      <c r="E593" s="29"/>
      <c r="F593" s="29" t="s">
        <v>14</v>
      </c>
      <c r="G593" s="29"/>
      <c r="H593" s="29" t="s">
        <v>437</v>
      </c>
      <c r="I593" s="17" t="s">
        <v>242</v>
      </c>
      <c r="J593" s="29" t="s">
        <v>1287</v>
      </c>
      <c r="K593" s="32" t="s">
        <v>437</v>
      </c>
      <c r="L593" s="32" t="str">
        <f t="shared" si="107"/>
        <v>172.29.10.69</v>
      </c>
      <c r="M593" s="32">
        <f t="shared" si="115"/>
        <v>37603</v>
      </c>
      <c r="N593" s="32" t="str">
        <f t="shared" si="108"/>
        <v>172.29.10.70</v>
      </c>
      <c r="O593" s="32">
        <f t="shared" si="114"/>
        <v>47603</v>
      </c>
      <c r="P593" s="32" t="s">
        <v>94</v>
      </c>
      <c r="Q593" s="49" t="s">
        <v>95</v>
      </c>
      <c r="R593" s="3" t="str">
        <f t="shared" si="111"/>
        <v>"3":{"type":"con","dst_persist":"n","src":{"37603":{"raddr":"172.29.10.69:0","mhdr":"iBHb2","name":"NODO-01"},"47603":{"raddr":"172.29.10.70:0","mhdr":"iBHb2","name":"NODO-02"}},"dst":{"mode":"client","raddr":"172.19.211.103:7603","mhdr":"iBHb2","name":"Base24-POS1-03"},"plugin": {"file":"slb_plugin_rm_biciso.so","type":"RM","args": {"nodrop":"n"}}},</v>
      </c>
    </row>
    <row r="594" spans="1:18" ht="15" thickBot="1">
      <c r="A594" s="40"/>
      <c r="B594" s="16" t="s">
        <v>1324</v>
      </c>
      <c r="C594" s="125"/>
      <c r="D594" s="29">
        <v>4</v>
      </c>
      <c r="E594" s="17"/>
      <c r="F594" s="17" t="s">
        <v>14</v>
      </c>
      <c r="G594" s="17"/>
      <c r="H594" s="17" t="s">
        <v>437</v>
      </c>
      <c r="I594" s="17" t="s">
        <v>231</v>
      </c>
      <c r="J594" s="29" t="s">
        <v>1288</v>
      </c>
      <c r="K594" s="35" t="s">
        <v>437</v>
      </c>
      <c r="L594" s="32" t="str">
        <f t="shared" si="107"/>
        <v>172.29.10.69</v>
      </c>
      <c r="M594" s="32">
        <f t="shared" si="115"/>
        <v>37604</v>
      </c>
      <c r="N594" s="32" t="str">
        <f t="shared" si="108"/>
        <v>172.29.10.70</v>
      </c>
      <c r="O594" s="35">
        <f t="shared" si="114"/>
        <v>47604</v>
      </c>
      <c r="P594" s="35" t="s">
        <v>94</v>
      </c>
      <c r="Q594" s="36" t="s">
        <v>95</v>
      </c>
      <c r="R594" s="3" t="str">
        <f t="shared" si="111"/>
        <v>"4":{"type":"con","dst_persist":"n","src":{"37604":{"raddr":"172.29.10.69:0","mhdr":"iBHb2","name":"NODO-01"},"47604":{"raddr":"172.29.10.70:0","mhdr":"iBHb2","name":"NODO-02"}},"dst":{"mode":"client","raddr":"172.19.211.101:7604","mhdr":"iBHb2","name":"Base24-POS1-04"},"plugin": {"file":"slb_plugin_rm_biciso.so","type":"RM","args": {"nodrop":"n"}}},</v>
      </c>
    </row>
    <row r="595" spans="1:18" ht="15" thickBot="1">
      <c r="A595" s="47"/>
      <c r="B595" s="23" t="s">
        <v>1325</v>
      </c>
      <c r="C595" s="23"/>
      <c r="D595" s="29">
        <v>5</v>
      </c>
      <c r="E595" s="29"/>
      <c r="F595" s="29" t="s">
        <v>14</v>
      </c>
      <c r="G595" s="29"/>
      <c r="H595" s="29" t="s">
        <v>437</v>
      </c>
      <c r="I595" s="17" t="s">
        <v>231</v>
      </c>
      <c r="J595" s="29" t="s">
        <v>1289</v>
      </c>
      <c r="K595" s="32" t="s">
        <v>437</v>
      </c>
      <c r="L595" s="32" t="str">
        <f t="shared" si="107"/>
        <v>172.29.10.69</v>
      </c>
      <c r="M595" s="32">
        <f t="shared" si="115"/>
        <v>37605</v>
      </c>
      <c r="N595" s="32" t="str">
        <f t="shared" si="108"/>
        <v>172.29.10.70</v>
      </c>
      <c r="O595" s="32">
        <f t="shared" si="114"/>
        <v>47605</v>
      </c>
      <c r="P595" s="32" t="s">
        <v>94</v>
      </c>
      <c r="Q595" s="49" t="s">
        <v>95</v>
      </c>
      <c r="R595" s="3" t="str">
        <f t="shared" si="111"/>
        <v>"5":{"type":"con","dst_persist":"n","src":{"37605":{"raddr":"172.29.10.69:0","mhdr":"iBHb2","name":"NODO-01"},"47605":{"raddr":"172.29.10.70:0","mhdr":"iBHb2","name":"NODO-02"}},"dst":{"mode":"client","raddr":"172.19.211.101:7605","mhdr":"iBHb2","name":"Base24-POS1-05"},"plugin": {"file":"slb_plugin_rm_biciso.so","type":"RM","args": {"nodrop":"n"}}},</v>
      </c>
    </row>
    <row r="596" spans="1:18" ht="15" thickBot="1">
      <c r="A596" s="40"/>
      <c r="B596" s="16" t="s">
        <v>1326</v>
      </c>
      <c r="C596" s="125"/>
      <c r="D596" s="29">
        <v>6</v>
      </c>
      <c r="E596" s="17"/>
      <c r="F596" s="17" t="s">
        <v>14</v>
      </c>
      <c r="G596" s="17"/>
      <c r="H596" s="17" t="s">
        <v>437</v>
      </c>
      <c r="I596" s="17" t="s">
        <v>236</v>
      </c>
      <c r="J596" s="29" t="s">
        <v>1290</v>
      </c>
      <c r="K596" s="35" t="s">
        <v>437</v>
      </c>
      <c r="L596" s="32" t="str">
        <f t="shared" si="107"/>
        <v>172.29.10.69</v>
      </c>
      <c r="M596" s="32">
        <f t="shared" si="115"/>
        <v>37606</v>
      </c>
      <c r="N596" s="32" t="str">
        <f t="shared" si="108"/>
        <v>172.29.10.70</v>
      </c>
      <c r="O596" s="35">
        <f t="shared" si="114"/>
        <v>47606</v>
      </c>
      <c r="P596" s="35" t="s">
        <v>94</v>
      </c>
      <c r="Q596" s="36" t="s">
        <v>96</v>
      </c>
      <c r="R596" s="3" t="str">
        <f t="shared" si="111"/>
        <v>"6":{"type":"con","dst_persist":"n","src":{"37606":{"raddr":"172.29.10.69:0","mhdr":"iBHb2","name":"NODO-01"},"47606":{"raddr":"172.29.10.70:0","mhdr":"iBHb2","name":"NODO-02"}},"dst":{"mode":"client","raddr":"172.19.211.102:7606","mhdr":"iBHb2","name":"Base24-POS1-06"},"plugin": {"file":"slb_plugin_rm_biciso.so","type":"RM","args": {"nodrop":"n"}}}}},</v>
      </c>
    </row>
    <row r="597" spans="1:18" ht="15" thickBot="1">
      <c r="A597" s="47">
        <v>19</v>
      </c>
      <c r="B597" s="23" t="s">
        <v>1327</v>
      </c>
      <c r="C597" s="23"/>
      <c r="D597" s="29">
        <v>1</v>
      </c>
      <c r="E597" s="29"/>
      <c r="F597" s="29" t="s">
        <v>14</v>
      </c>
      <c r="G597" s="29"/>
      <c r="H597" s="29" t="s">
        <v>437</v>
      </c>
      <c r="I597" s="17" t="s">
        <v>231</v>
      </c>
      <c r="J597" s="29" t="s">
        <v>1291</v>
      </c>
      <c r="K597" s="32" t="s">
        <v>437</v>
      </c>
      <c r="L597" s="32" t="str">
        <f t="shared" si="107"/>
        <v>172.29.10.69</v>
      </c>
      <c r="M597" s="32">
        <f>J597+30000</f>
        <v>37607</v>
      </c>
      <c r="N597" s="32" t="str">
        <f t="shared" si="108"/>
        <v>172.29.10.70</v>
      </c>
      <c r="O597" s="32">
        <f t="shared" si="114"/>
        <v>47607</v>
      </c>
      <c r="P597" s="32" t="s">
        <v>94</v>
      </c>
      <c r="Q597" s="49" t="s">
        <v>95</v>
      </c>
      <c r="R597" s="3" t="str">
        <f t="shared" si="111"/>
        <v>"19":{"rules":{"1":{"type":"con","dst_persist":"n","src":{"37607":{"raddr":"172.29.10.69:0","mhdr":"iBHb2","name":"NODO-01"},"47607":{"raddr":"172.29.10.70:0","mhdr":"iBHb2","name":"NODO-02"}},"dst":{"mode":"client","raddr":"172.19.211.101:7607","mhdr":"iBHb2","name":"Base24-POS2-01"},"plugin": {"file":"slb_plugin_rm_biciso.so","type":"RM","args": {"nodrop":"n"}}},</v>
      </c>
    </row>
    <row r="598" spans="1:18" ht="15" thickBot="1">
      <c r="A598" s="40"/>
      <c r="B598" s="16" t="s">
        <v>1328</v>
      </c>
      <c r="C598" s="125"/>
      <c r="D598" s="29">
        <v>2</v>
      </c>
      <c r="E598" s="17"/>
      <c r="F598" s="17" t="s">
        <v>14</v>
      </c>
      <c r="G598" s="17"/>
      <c r="H598" s="17" t="s">
        <v>437</v>
      </c>
      <c r="I598" s="17" t="s">
        <v>231</v>
      </c>
      <c r="J598" s="29" t="s">
        <v>1292</v>
      </c>
      <c r="K598" s="35" t="s">
        <v>437</v>
      </c>
      <c r="L598" s="32" t="str">
        <f t="shared" si="107"/>
        <v>172.29.10.69</v>
      </c>
      <c r="M598" s="32">
        <f t="shared" ref="M598:M602" si="116">J598+30000</f>
        <v>37608</v>
      </c>
      <c r="N598" s="32" t="str">
        <f t="shared" si="108"/>
        <v>172.29.10.70</v>
      </c>
      <c r="O598" s="35">
        <f t="shared" si="114"/>
        <v>47608</v>
      </c>
      <c r="P598" s="35" t="s">
        <v>94</v>
      </c>
      <c r="Q598" s="36" t="s">
        <v>95</v>
      </c>
      <c r="R598" s="3" t="str">
        <f t="shared" si="111"/>
        <v>"2":{"type":"con","dst_persist":"n","src":{"37608":{"raddr":"172.29.10.69:0","mhdr":"iBHb2","name":"NODO-01"},"47608":{"raddr":"172.29.10.70:0","mhdr":"iBHb2","name":"NODO-02"}},"dst":{"mode":"client","raddr":"172.19.211.101:7608","mhdr":"iBHb2","name":"Base24-POS2-02"},"plugin": {"file":"slb_plugin_rm_biciso.so","type":"RM","args": {"nodrop":"n"}}},</v>
      </c>
    </row>
    <row r="599" spans="1:18" ht="15" thickBot="1">
      <c r="A599" s="47"/>
      <c r="B599" s="23" t="s">
        <v>1329</v>
      </c>
      <c r="C599" s="23"/>
      <c r="D599" s="29">
        <v>3</v>
      </c>
      <c r="E599" s="29"/>
      <c r="F599" s="29" t="s">
        <v>14</v>
      </c>
      <c r="G599" s="29"/>
      <c r="H599" s="29" t="s">
        <v>437</v>
      </c>
      <c r="I599" s="17" t="s">
        <v>236</v>
      </c>
      <c r="J599" s="29" t="s">
        <v>1293</v>
      </c>
      <c r="K599" s="32" t="s">
        <v>437</v>
      </c>
      <c r="L599" s="32" t="str">
        <f t="shared" si="107"/>
        <v>172.29.10.69</v>
      </c>
      <c r="M599" s="32">
        <f t="shared" si="116"/>
        <v>37609</v>
      </c>
      <c r="N599" s="32" t="str">
        <f t="shared" si="108"/>
        <v>172.29.10.70</v>
      </c>
      <c r="O599" s="32">
        <f t="shared" si="114"/>
        <v>47609</v>
      </c>
      <c r="P599" s="32" t="s">
        <v>94</v>
      </c>
      <c r="Q599" s="49" t="s">
        <v>95</v>
      </c>
      <c r="R599" s="3" t="str">
        <f t="shared" si="111"/>
        <v>"3":{"type":"con","dst_persist":"n","src":{"37609":{"raddr":"172.29.10.69:0","mhdr":"iBHb2","name":"NODO-01"},"47609":{"raddr":"172.29.10.70:0","mhdr":"iBHb2","name":"NODO-02"}},"dst":{"mode":"client","raddr":"172.19.211.102:7609","mhdr":"iBHb2","name":"Base24-POS2-03"},"plugin": {"file":"slb_plugin_rm_biciso.so","type":"RM","args": {"nodrop":"n"}}},</v>
      </c>
    </row>
    <row r="600" spans="1:18" ht="15" thickBot="1">
      <c r="A600" s="40"/>
      <c r="B600" s="16" t="s">
        <v>1330</v>
      </c>
      <c r="C600" s="125"/>
      <c r="D600" s="29">
        <v>4</v>
      </c>
      <c r="E600" s="17"/>
      <c r="F600" s="17" t="s">
        <v>14</v>
      </c>
      <c r="G600" s="17"/>
      <c r="H600" s="17" t="s">
        <v>437</v>
      </c>
      <c r="I600" s="17" t="s">
        <v>236</v>
      </c>
      <c r="J600" s="29" t="s">
        <v>1294</v>
      </c>
      <c r="K600" s="35" t="s">
        <v>437</v>
      </c>
      <c r="L600" s="32" t="str">
        <f t="shared" si="107"/>
        <v>172.29.10.69</v>
      </c>
      <c r="M600" s="32">
        <f t="shared" si="116"/>
        <v>37610</v>
      </c>
      <c r="N600" s="32" t="str">
        <f t="shared" si="108"/>
        <v>172.29.10.70</v>
      </c>
      <c r="O600" s="35">
        <f t="shared" si="114"/>
        <v>47610</v>
      </c>
      <c r="P600" s="35" t="s">
        <v>94</v>
      </c>
      <c r="Q600" s="36" t="s">
        <v>95</v>
      </c>
      <c r="R600" s="3" t="str">
        <f t="shared" si="111"/>
        <v>"4":{"type":"con","dst_persist":"n","src":{"37610":{"raddr":"172.29.10.69:0","mhdr":"iBHb2","name":"NODO-01"},"47610":{"raddr":"172.29.10.70:0","mhdr":"iBHb2","name":"NODO-02"}},"dst":{"mode":"client","raddr":"172.19.211.102:7610","mhdr":"iBHb2","name":"Base24-POS2-04"},"plugin": {"file":"slb_plugin_rm_biciso.so","type":"RM","args": {"nodrop":"n"}}},</v>
      </c>
    </row>
    <row r="601" spans="1:18" ht="15" thickBot="1">
      <c r="A601" s="47"/>
      <c r="B601" s="23" t="s">
        <v>1331</v>
      </c>
      <c r="C601" s="23"/>
      <c r="D601" s="29">
        <v>5</v>
      </c>
      <c r="E601" s="29"/>
      <c r="F601" s="29" t="s">
        <v>14</v>
      </c>
      <c r="G601" s="29"/>
      <c r="H601" s="29" t="s">
        <v>437</v>
      </c>
      <c r="I601" s="17" t="s">
        <v>242</v>
      </c>
      <c r="J601" s="29" t="s">
        <v>1295</v>
      </c>
      <c r="K601" s="32" t="s">
        <v>437</v>
      </c>
      <c r="L601" s="32" t="str">
        <f t="shared" si="107"/>
        <v>172.29.10.69</v>
      </c>
      <c r="M601" s="32">
        <f t="shared" si="116"/>
        <v>37611</v>
      </c>
      <c r="N601" s="32" t="str">
        <f t="shared" si="108"/>
        <v>172.29.10.70</v>
      </c>
      <c r="O601" s="32">
        <f t="shared" si="114"/>
        <v>47611</v>
      </c>
      <c r="P601" s="32" t="s">
        <v>94</v>
      </c>
      <c r="Q601" s="49" t="s">
        <v>95</v>
      </c>
      <c r="R601" s="3" t="str">
        <f t="shared" si="111"/>
        <v>"5":{"type":"con","dst_persist":"n","src":{"37611":{"raddr":"172.29.10.69:0","mhdr":"iBHb2","name":"NODO-01"},"47611":{"raddr":"172.29.10.70:0","mhdr":"iBHb2","name":"NODO-02"}},"dst":{"mode":"client","raddr":"172.19.211.103:7611","mhdr":"iBHb2","name":"Base24-POS2-05"},"plugin": {"file":"slb_plugin_rm_biciso.so","type":"RM","args": {"nodrop":"n"}}},</v>
      </c>
    </row>
    <row r="602" spans="1:18" ht="15" thickBot="1">
      <c r="A602" s="40"/>
      <c r="B602" s="16" t="s">
        <v>1332</v>
      </c>
      <c r="C602" s="125"/>
      <c r="D602" s="29">
        <v>6</v>
      </c>
      <c r="E602" s="17"/>
      <c r="F602" s="17" t="s">
        <v>14</v>
      </c>
      <c r="G602" s="17"/>
      <c r="H602" s="17" t="s">
        <v>437</v>
      </c>
      <c r="I602" s="17" t="s">
        <v>242</v>
      </c>
      <c r="J602" s="29" t="s">
        <v>1296</v>
      </c>
      <c r="K602" s="35" t="s">
        <v>437</v>
      </c>
      <c r="L602" s="32" t="str">
        <f t="shared" si="107"/>
        <v>172.29.10.69</v>
      </c>
      <c r="M602" s="32">
        <f t="shared" si="116"/>
        <v>37612</v>
      </c>
      <c r="N602" s="32" t="str">
        <f t="shared" si="108"/>
        <v>172.29.10.70</v>
      </c>
      <c r="O602" s="35">
        <f t="shared" si="114"/>
        <v>47612</v>
      </c>
      <c r="P602" s="35" t="s">
        <v>94</v>
      </c>
      <c r="Q602" s="36" t="s">
        <v>96</v>
      </c>
      <c r="R602" s="3" t="str">
        <f t="shared" si="111"/>
        <v>"6":{"type":"con","dst_persist":"n","src":{"37612":{"raddr":"172.29.10.69:0","mhdr":"iBHb2","name":"NODO-01"},"47612":{"raddr":"172.29.10.70:0","mhdr":"iBHb2","name":"NODO-02"}},"dst":{"mode":"client","raddr":"172.19.211.103:7612","mhdr":"iBHb2","name":"Base24-POS2-06"},"plugin": {"file":"slb_plugin_rm_biciso.so","type":"RM","args": {"nodrop":"n"}}}}},</v>
      </c>
    </row>
    <row r="603" spans="1:18" ht="15" thickBot="1">
      <c r="A603" s="47">
        <v>20</v>
      </c>
      <c r="B603" s="23" t="s">
        <v>1333</v>
      </c>
      <c r="C603" s="23"/>
      <c r="D603" s="29">
        <v>1</v>
      </c>
      <c r="E603" s="29"/>
      <c r="F603" s="29" t="s">
        <v>14</v>
      </c>
      <c r="G603" s="29"/>
      <c r="H603" s="29" t="s">
        <v>437</v>
      </c>
      <c r="I603" s="17" t="s">
        <v>231</v>
      </c>
      <c r="J603" s="29" t="s">
        <v>1297</v>
      </c>
      <c r="K603" s="32" t="s">
        <v>437</v>
      </c>
      <c r="L603" s="32" t="str">
        <f t="shared" si="107"/>
        <v>172.29.10.69</v>
      </c>
      <c r="M603" s="32">
        <f>J603+30000</f>
        <v>37613</v>
      </c>
      <c r="N603" s="32" t="str">
        <f t="shared" si="108"/>
        <v>172.29.10.70</v>
      </c>
      <c r="O603" s="32">
        <f t="shared" si="114"/>
        <v>47613</v>
      </c>
      <c r="P603" s="32" t="s">
        <v>94</v>
      </c>
      <c r="Q603" s="49" t="s">
        <v>95</v>
      </c>
      <c r="R603" s="3" t="str">
        <f t="shared" si="111"/>
        <v>"20":{"rules":{"1":{"type":"con","dst_persist":"n","src":{"37613":{"raddr":"172.29.10.69:0","mhdr":"iBHb2","name":"NODO-01"},"47613":{"raddr":"172.29.10.70:0","mhdr":"iBHb2","name":"NODO-02"}},"dst":{"mode":"client","raddr":"172.19.211.101:7613","mhdr":"iBHb2","name":"Base24-POS3-01"},"plugin": {"file":"slb_plugin_rm_biciso.so","type":"RM","args": {"nodrop":"n"}}},</v>
      </c>
    </row>
    <row r="604" spans="1:18" ht="15" thickBot="1">
      <c r="A604" s="40"/>
      <c r="B604" s="16" t="s">
        <v>1334</v>
      </c>
      <c r="C604" s="125"/>
      <c r="D604" s="29">
        <v>2</v>
      </c>
      <c r="E604" s="17"/>
      <c r="F604" s="17" t="s">
        <v>14</v>
      </c>
      <c r="G604" s="17"/>
      <c r="H604" s="17" t="s">
        <v>437</v>
      </c>
      <c r="I604" s="17" t="s">
        <v>231</v>
      </c>
      <c r="J604" s="29" t="s">
        <v>1298</v>
      </c>
      <c r="K604" s="35" t="s">
        <v>437</v>
      </c>
      <c r="L604" s="32" t="str">
        <f t="shared" si="107"/>
        <v>172.29.10.69</v>
      </c>
      <c r="M604" s="32">
        <f t="shared" ref="M604:M608" si="117">J604+30000</f>
        <v>37614</v>
      </c>
      <c r="N604" s="32" t="str">
        <f t="shared" si="108"/>
        <v>172.29.10.70</v>
      </c>
      <c r="O604" s="35">
        <f t="shared" si="114"/>
        <v>47614</v>
      </c>
      <c r="P604" s="35" t="s">
        <v>94</v>
      </c>
      <c r="Q604" s="36" t="s">
        <v>95</v>
      </c>
      <c r="R604" s="3" t="str">
        <f t="shared" si="111"/>
        <v>"2":{"type":"con","dst_persist":"n","src":{"37614":{"raddr":"172.29.10.69:0","mhdr":"iBHb2","name":"NODO-01"},"47614":{"raddr":"172.29.10.70:0","mhdr":"iBHb2","name":"NODO-02"}},"dst":{"mode":"client","raddr":"172.19.211.101:7614","mhdr":"iBHb2","name":"Base24-POS3-02"},"plugin": {"file":"slb_plugin_rm_biciso.so","type":"RM","args": {"nodrop":"n"}}},</v>
      </c>
    </row>
    <row r="605" spans="1:18" ht="15" thickBot="1">
      <c r="A605" s="47"/>
      <c r="B605" s="23" t="s">
        <v>1335</v>
      </c>
      <c r="C605" s="23"/>
      <c r="D605" s="29">
        <v>3</v>
      </c>
      <c r="E605" s="29"/>
      <c r="F605" s="29" t="s">
        <v>14</v>
      </c>
      <c r="G605" s="29"/>
      <c r="H605" s="29" t="s">
        <v>437</v>
      </c>
      <c r="I605" s="17" t="s">
        <v>236</v>
      </c>
      <c r="J605" s="29" t="s">
        <v>1299</v>
      </c>
      <c r="K605" s="32" t="s">
        <v>437</v>
      </c>
      <c r="L605" s="32" t="str">
        <f t="shared" si="107"/>
        <v>172.29.10.69</v>
      </c>
      <c r="M605" s="32">
        <f t="shared" si="117"/>
        <v>37615</v>
      </c>
      <c r="N605" s="32" t="str">
        <f t="shared" si="108"/>
        <v>172.29.10.70</v>
      </c>
      <c r="O605" s="32">
        <f t="shared" si="114"/>
        <v>47615</v>
      </c>
      <c r="P605" s="32" t="s">
        <v>94</v>
      </c>
      <c r="Q605" s="49" t="s">
        <v>95</v>
      </c>
      <c r="R605" s="3" t="str">
        <f t="shared" si="111"/>
        <v>"3":{"type":"con","dst_persist":"n","src":{"37615":{"raddr":"172.29.10.69:0","mhdr":"iBHb2","name":"NODO-01"},"47615":{"raddr":"172.29.10.70:0","mhdr":"iBHb2","name":"NODO-02"}},"dst":{"mode":"client","raddr":"172.19.211.102:7615","mhdr":"iBHb2","name":"Base24-POS3-03"},"plugin": {"file":"slb_plugin_rm_biciso.so","type":"RM","args": {"nodrop":"n"}}},</v>
      </c>
    </row>
    <row r="606" spans="1:18" ht="15" thickBot="1">
      <c r="A606" s="40"/>
      <c r="B606" s="16" t="s">
        <v>1336</v>
      </c>
      <c r="C606" s="125"/>
      <c r="D606" s="29">
        <v>4</v>
      </c>
      <c r="E606" s="17"/>
      <c r="F606" s="17" t="s">
        <v>14</v>
      </c>
      <c r="G606" s="17"/>
      <c r="H606" s="17" t="s">
        <v>437</v>
      </c>
      <c r="I606" s="17" t="s">
        <v>236</v>
      </c>
      <c r="J606" s="29" t="s">
        <v>1300</v>
      </c>
      <c r="K606" s="35" t="s">
        <v>437</v>
      </c>
      <c r="L606" s="32" t="str">
        <f t="shared" si="107"/>
        <v>172.29.10.69</v>
      </c>
      <c r="M606" s="32">
        <f t="shared" si="117"/>
        <v>37616</v>
      </c>
      <c r="N606" s="32" t="str">
        <f t="shared" si="108"/>
        <v>172.29.10.70</v>
      </c>
      <c r="O606" s="35">
        <f t="shared" si="114"/>
        <v>47616</v>
      </c>
      <c r="P606" s="35" t="s">
        <v>94</v>
      </c>
      <c r="Q606" s="36" t="s">
        <v>95</v>
      </c>
      <c r="R606" s="3" t="str">
        <f t="shared" si="111"/>
        <v>"4":{"type":"con","dst_persist":"n","src":{"37616":{"raddr":"172.29.10.69:0","mhdr":"iBHb2","name":"NODO-01"},"47616":{"raddr":"172.29.10.70:0","mhdr":"iBHb2","name":"NODO-02"}},"dst":{"mode":"client","raddr":"172.19.211.102:7616","mhdr":"iBHb2","name":"Base24-POS3-04"},"plugin": {"file":"slb_plugin_rm_biciso.so","type":"RM","args": {"nodrop":"n"}}},</v>
      </c>
    </row>
    <row r="607" spans="1:18" ht="15" thickBot="1">
      <c r="A607" s="47"/>
      <c r="B607" s="23" t="s">
        <v>1337</v>
      </c>
      <c r="C607" s="23"/>
      <c r="D607" s="29">
        <v>5</v>
      </c>
      <c r="E607" s="29"/>
      <c r="F607" s="29" t="s">
        <v>14</v>
      </c>
      <c r="G607" s="29"/>
      <c r="H607" s="29" t="s">
        <v>437</v>
      </c>
      <c r="I607" s="17" t="s">
        <v>242</v>
      </c>
      <c r="J607" s="29" t="s">
        <v>1301</v>
      </c>
      <c r="K607" s="32" t="s">
        <v>437</v>
      </c>
      <c r="L607" s="32" t="str">
        <f t="shared" si="107"/>
        <v>172.29.10.69</v>
      </c>
      <c r="M607" s="32">
        <f t="shared" si="117"/>
        <v>37617</v>
      </c>
      <c r="N607" s="32" t="str">
        <f t="shared" si="108"/>
        <v>172.29.10.70</v>
      </c>
      <c r="O607" s="32">
        <f t="shared" si="114"/>
        <v>47617</v>
      </c>
      <c r="P607" s="32" t="s">
        <v>94</v>
      </c>
      <c r="Q607" s="49" t="s">
        <v>95</v>
      </c>
      <c r="R607" s="3" t="str">
        <f t="shared" si="111"/>
        <v>"5":{"type":"con","dst_persist":"n","src":{"37617":{"raddr":"172.29.10.69:0","mhdr":"iBHb2","name":"NODO-01"},"47617":{"raddr":"172.29.10.70:0","mhdr":"iBHb2","name":"NODO-02"}},"dst":{"mode":"client","raddr":"172.19.211.103:7617","mhdr":"iBHb2","name":"Base24-POS3-05"},"plugin": {"file":"slb_plugin_rm_biciso.so","type":"RM","args": {"nodrop":"n"}}},</v>
      </c>
    </row>
    <row r="608" spans="1:18" ht="15" thickBot="1">
      <c r="A608" s="40"/>
      <c r="B608" s="16" t="s">
        <v>1338</v>
      </c>
      <c r="C608" s="125"/>
      <c r="D608" s="29">
        <v>6</v>
      </c>
      <c r="E608" s="17"/>
      <c r="F608" s="17" t="s">
        <v>14</v>
      </c>
      <c r="G608" s="17"/>
      <c r="H608" s="17" t="s">
        <v>437</v>
      </c>
      <c r="I608" s="17" t="s">
        <v>242</v>
      </c>
      <c r="J608" s="29" t="s">
        <v>1302</v>
      </c>
      <c r="K608" s="35" t="s">
        <v>437</v>
      </c>
      <c r="L608" s="32" t="str">
        <f t="shared" si="107"/>
        <v>172.29.10.69</v>
      </c>
      <c r="M608" s="32">
        <f t="shared" si="117"/>
        <v>37618</v>
      </c>
      <c r="N608" s="32" t="str">
        <f t="shared" si="108"/>
        <v>172.29.10.70</v>
      </c>
      <c r="O608" s="35">
        <f t="shared" si="114"/>
        <v>47618</v>
      </c>
      <c r="P608" s="35" t="s">
        <v>94</v>
      </c>
      <c r="Q608" s="36" t="s">
        <v>96</v>
      </c>
      <c r="R608" s="3" t="str">
        <f t="shared" si="111"/>
        <v>"6":{"type":"con","dst_persist":"n","src":{"37618":{"raddr":"172.29.10.69:0","mhdr":"iBHb2","name":"NODO-01"},"47618":{"raddr":"172.29.10.70:0","mhdr":"iBHb2","name":"NODO-02"}},"dst":{"mode":"client","raddr":"172.19.211.103:7618","mhdr":"iBHb2","name":"Base24-POS3-06"},"plugin": {"file":"slb_plugin_rm_biciso.so","type":"RM","args": {"nodrop":"n"}}}}},</v>
      </c>
    </row>
    <row r="609" spans="1:18" ht="15" thickBot="1">
      <c r="A609" s="47">
        <v>21</v>
      </c>
      <c r="B609" s="23" t="s">
        <v>1339</v>
      </c>
      <c r="C609" s="23"/>
      <c r="D609" s="29">
        <v>1</v>
      </c>
      <c r="E609" s="29"/>
      <c r="F609" s="29" t="s">
        <v>14</v>
      </c>
      <c r="G609" s="29"/>
      <c r="H609" s="29" t="s">
        <v>437</v>
      </c>
      <c r="I609" s="17" t="s">
        <v>231</v>
      </c>
      <c r="J609" s="29" t="s">
        <v>1303</v>
      </c>
      <c r="K609" s="32" t="s">
        <v>437</v>
      </c>
      <c r="L609" s="32" t="str">
        <f t="shared" si="107"/>
        <v>172.29.10.69</v>
      </c>
      <c r="M609" s="32">
        <f>J609+30000</f>
        <v>37619</v>
      </c>
      <c r="N609" s="32" t="str">
        <f t="shared" si="108"/>
        <v>172.29.10.70</v>
      </c>
      <c r="O609" s="32">
        <f t="shared" si="114"/>
        <v>47619</v>
      </c>
      <c r="P609" s="32" t="s">
        <v>94</v>
      </c>
      <c r="Q609" s="49" t="s">
        <v>95</v>
      </c>
      <c r="R609" s="3" t="str">
        <f t="shared" si="111"/>
        <v>"21":{"rules":{"1":{"type":"con","dst_persist":"n","src":{"37619":{"raddr":"172.29.10.69:0","mhdr":"iBHb2","name":"NODO-01"},"47619":{"raddr":"172.29.10.70:0","mhdr":"iBHb2","name":"NODO-02"}},"dst":{"mode":"client","raddr":"172.19.211.101:7619","mhdr":"iBHb2","name":"Base24-POS4-01"},"plugin": {"file":"slb_plugin_rm_biciso.so","type":"RM","args": {"nodrop":"n"}}},</v>
      </c>
    </row>
    <row r="610" spans="1:18" ht="15" thickBot="1">
      <c r="A610" s="40"/>
      <c r="B610" s="16" t="s">
        <v>1340</v>
      </c>
      <c r="C610" s="125"/>
      <c r="D610" s="29">
        <v>2</v>
      </c>
      <c r="E610" s="17"/>
      <c r="F610" s="17" t="s">
        <v>14</v>
      </c>
      <c r="G610" s="17"/>
      <c r="H610" s="17" t="s">
        <v>437</v>
      </c>
      <c r="I610" s="17" t="s">
        <v>231</v>
      </c>
      <c r="J610" s="29" t="s">
        <v>1304</v>
      </c>
      <c r="K610" s="35" t="s">
        <v>437</v>
      </c>
      <c r="L610" s="32" t="str">
        <f t="shared" si="107"/>
        <v>172.29.10.69</v>
      </c>
      <c r="M610" s="32">
        <f t="shared" ref="M610:M614" si="118">J610+30000</f>
        <v>37620</v>
      </c>
      <c r="N610" s="32" t="str">
        <f t="shared" si="108"/>
        <v>172.29.10.70</v>
      </c>
      <c r="O610" s="35">
        <f t="shared" si="114"/>
        <v>47620</v>
      </c>
      <c r="P610" s="35" t="s">
        <v>94</v>
      </c>
      <c r="Q610" s="36" t="s">
        <v>95</v>
      </c>
      <c r="R610" s="3" t="str">
        <f t="shared" si="111"/>
        <v>"2":{"type":"con","dst_persist":"n","src":{"37620":{"raddr":"172.29.10.69:0","mhdr":"iBHb2","name":"NODO-01"},"47620":{"raddr":"172.29.10.70:0","mhdr":"iBHb2","name":"NODO-02"}},"dst":{"mode":"client","raddr":"172.19.211.101:7620","mhdr":"iBHb2","name":"Base24-POS4-02"},"plugin": {"file":"slb_plugin_rm_biciso.so","type":"RM","args": {"nodrop":"n"}}},</v>
      </c>
    </row>
    <row r="611" spans="1:18" ht="15" thickBot="1">
      <c r="A611" s="47"/>
      <c r="B611" s="23" t="s">
        <v>1341</v>
      </c>
      <c r="C611" s="23"/>
      <c r="D611" s="29">
        <v>3</v>
      </c>
      <c r="E611" s="29"/>
      <c r="F611" s="29" t="s">
        <v>14</v>
      </c>
      <c r="G611" s="29"/>
      <c r="H611" s="29" t="s">
        <v>437</v>
      </c>
      <c r="I611" s="17" t="s">
        <v>236</v>
      </c>
      <c r="J611" s="29" t="s">
        <v>1305</v>
      </c>
      <c r="K611" s="32" t="s">
        <v>437</v>
      </c>
      <c r="L611" s="32" t="str">
        <f t="shared" si="107"/>
        <v>172.29.10.69</v>
      </c>
      <c r="M611" s="32">
        <f t="shared" si="118"/>
        <v>37621</v>
      </c>
      <c r="N611" s="32" t="str">
        <f t="shared" si="108"/>
        <v>172.29.10.70</v>
      </c>
      <c r="O611" s="32">
        <f t="shared" si="114"/>
        <v>47621</v>
      </c>
      <c r="P611" s="32" t="s">
        <v>94</v>
      </c>
      <c r="Q611" s="49" t="s">
        <v>95</v>
      </c>
      <c r="R611" s="3" t="str">
        <f t="shared" si="111"/>
        <v>"3":{"type":"con","dst_persist":"n","src":{"37621":{"raddr":"172.29.10.69:0","mhdr":"iBHb2","name":"NODO-01"},"47621":{"raddr":"172.29.10.70:0","mhdr":"iBHb2","name":"NODO-02"}},"dst":{"mode":"client","raddr":"172.19.211.102:7621","mhdr":"iBHb2","name":"Base24-POS4-03"},"plugin": {"file":"slb_plugin_rm_biciso.so","type":"RM","args": {"nodrop":"n"}}},</v>
      </c>
    </row>
    <row r="612" spans="1:18" ht="15" thickBot="1">
      <c r="A612" s="40"/>
      <c r="B612" s="16" t="s">
        <v>1342</v>
      </c>
      <c r="C612" s="125"/>
      <c r="D612" s="29">
        <v>4</v>
      </c>
      <c r="E612" s="17"/>
      <c r="F612" s="17" t="s">
        <v>14</v>
      </c>
      <c r="G612" s="17"/>
      <c r="H612" s="17" t="s">
        <v>437</v>
      </c>
      <c r="I612" s="17" t="s">
        <v>236</v>
      </c>
      <c r="J612" s="29" t="s">
        <v>1306</v>
      </c>
      <c r="K612" s="35" t="s">
        <v>437</v>
      </c>
      <c r="L612" s="32" t="str">
        <f t="shared" si="107"/>
        <v>172.29.10.69</v>
      </c>
      <c r="M612" s="32">
        <f t="shared" si="118"/>
        <v>37622</v>
      </c>
      <c r="N612" s="32" t="str">
        <f t="shared" si="108"/>
        <v>172.29.10.70</v>
      </c>
      <c r="O612" s="35">
        <f t="shared" si="114"/>
        <v>47622</v>
      </c>
      <c r="P612" s="35" t="s">
        <v>94</v>
      </c>
      <c r="Q612" s="36" t="s">
        <v>95</v>
      </c>
      <c r="R612" s="3" t="str">
        <f t="shared" si="111"/>
        <v>"4":{"type":"con","dst_persist":"n","src":{"37622":{"raddr":"172.29.10.69:0","mhdr":"iBHb2","name":"NODO-01"},"47622":{"raddr":"172.29.10.70:0","mhdr":"iBHb2","name":"NODO-02"}},"dst":{"mode":"client","raddr":"172.19.211.102:7622","mhdr":"iBHb2","name":"Base24-POS4-04"},"plugin": {"file":"slb_plugin_rm_biciso.so","type":"RM","args": {"nodrop":"n"}}},</v>
      </c>
    </row>
    <row r="613" spans="1:18" ht="15" thickBot="1">
      <c r="A613" s="47"/>
      <c r="B613" s="23" t="s">
        <v>1343</v>
      </c>
      <c r="C613" s="23"/>
      <c r="D613" s="29">
        <v>5</v>
      </c>
      <c r="E613" s="29"/>
      <c r="F613" s="29" t="s">
        <v>14</v>
      </c>
      <c r="G613" s="29"/>
      <c r="H613" s="29" t="s">
        <v>437</v>
      </c>
      <c r="I613" s="17" t="s">
        <v>242</v>
      </c>
      <c r="J613" s="29" t="s">
        <v>1307</v>
      </c>
      <c r="K613" s="32" t="s">
        <v>437</v>
      </c>
      <c r="L613" s="32" t="str">
        <f t="shared" si="107"/>
        <v>172.29.10.69</v>
      </c>
      <c r="M613" s="32">
        <f t="shared" si="118"/>
        <v>37623</v>
      </c>
      <c r="N613" s="32" t="str">
        <f t="shared" si="108"/>
        <v>172.29.10.70</v>
      </c>
      <c r="O613" s="32">
        <f t="shared" si="114"/>
        <v>47623</v>
      </c>
      <c r="P613" s="32" t="s">
        <v>94</v>
      </c>
      <c r="Q613" s="49" t="s">
        <v>95</v>
      </c>
      <c r="R613" s="3" t="str">
        <f t="shared" si="111"/>
        <v>"5":{"type":"con","dst_persist":"n","src":{"37623":{"raddr":"172.29.10.69:0","mhdr":"iBHb2","name":"NODO-01"},"47623":{"raddr":"172.29.10.70:0","mhdr":"iBHb2","name":"NODO-02"}},"dst":{"mode":"client","raddr":"172.19.211.103:7623","mhdr":"iBHb2","name":"Base24-POS4-05"},"plugin": {"file":"slb_plugin_rm_biciso.so","type":"RM","args": {"nodrop":"n"}}},</v>
      </c>
    </row>
    <row r="614" spans="1:18" ht="15" thickBot="1">
      <c r="A614" s="40"/>
      <c r="B614" s="16" t="s">
        <v>1344</v>
      </c>
      <c r="C614" s="125"/>
      <c r="D614" s="29">
        <v>6</v>
      </c>
      <c r="E614" s="17"/>
      <c r="F614" s="17" t="s">
        <v>14</v>
      </c>
      <c r="G614" s="17"/>
      <c r="H614" s="17" t="s">
        <v>437</v>
      </c>
      <c r="I614" s="17" t="s">
        <v>242</v>
      </c>
      <c r="J614" s="29" t="s">
        <v>1308</v>
      </c>
      <c r="K614" s="35" t="s">
        <v>437</v>
      </c>
      <c r="L614" s="32" t="str">
        <f t="shared" si="107"/>
        <v>172.29.10.69</v>
      </c>
      <c r="M614" s="32">
        <f t="shared" si="118"/>
        <v>37624</v>
      </c>
      <c r="N614" s="32" t="str">
        <f t="shared" si="108"/>
        <v>172.29.10.70</v>
      </c>
      <c r="O614" s="35">
        <f t="shared" si="114"/>
        <v>47624</v>
      </c>
      <c r="P614" s="35" t="s">
        <v>94</v>
      </c>
      <c r="Q614" s="36" t="s">
        <v>96</v>
      </c>
      <c r="R614" s="3" t="str">
        <f t="shared" si="111"/>
        <v>"6":{"type":"con","dst_persist":"n","src":{"37624":{"raddr":"172.29.10.69:0","mhdr":"iBHb2","name":"NODO-01"},"47624":{"raddr":"172.29.10.70:0","mhdr":"iBHb2","name":"NODO-02"}},"dst":{"mode":"client","raddr":"172.19.211.103:7624","mhdr":"iBHb2","name":"Base24-POS4-06"},"plugin": {"file":"slb_plugin_rm_biciso.so","type":"RM","args": {"nodrop":"n"}}}}},</v>
      </c>
    </row>
    <row r="615" spans="1:18" ht="15" thickBot="1">
      <c r="A615" s="47">
        <v>22</v>
      </c>
      <c r="B615" s="23" t="s">
        <v>1345</v>
      </c>
      <c r="C615" s="23"/>
      <c r="D615" s="29">
        <v>1</v>
      </c>
      <c r="E615" s="29"/>
      <c r="F615" s="29" t="s">
        <v>14</v>
      </c>
      <c r="G615" s="29"/>
      <c r="H615" s="29" t="s">
        <v>437</v>
      </c>
      <c r="I615" s="17" t="s">
        <v>231</v>
      </c>
      <c r="J615" s="29" t="s">
        <v>1309</v>
      </c>
      <c r="K615" s="32" t="s">
        <v>437</v>
      </c>
      <c r="L615" s="32" t="str">
        <f t="shared" si="107"/>
        <v>172.29.10.69</v>
      </c>
      <c r="M615" s="32">
        <f>J615+30000</f>
        <v>37625</v>
      </c>
      <c r="N615" s="32" t="str">
        <f t="shared" si="108"/>
        <v>172.29.10.70</v>
      </c>
      <c r="O615" s="32">
        <f t="shared" si="114"/>
        <v>47625</v>
      </c>
      <c r="P615" s="32" t="s">
        <v>94</v>
      </c>
      <c r="Q615" s="49" t="s">
        <v>95</v>
      </c>
      <c r="R615" s="3" t="str">
        <f t="shared" si="111"/>
        <v>"22":{"rules":{"1":{"type":"con","dst_persist":"n","src":{"37625":{"raddr":"172.29.10.69:0","mhdr":"iBHb2","name":"NODO-01"},"47625":{"raddr":"172.29.10.70:0","mhdr":"iBHb2","name":"NODO-02"}},"dst":{"mode":"client","raddr":"172.19.211.101:7625","mhdr":"iBHb2","name":"Base24-POS5-01"},"plugin": {"file":"slb_plugin_rm_biciso.so","type":"RM","args": {"nodrop":"n"}}},</v>
      </c>
    </row>
    <row r="616" spans="1:18" ht="15" thickBot="1">
      <c r="A616" s="40"/>
      <c r="B616" s="16" t="s">
        <v>1346</v>
      </c>
      <c r="C616" s="125"/>
      <c r="D616" s="29">
        <v>2</v>
      </c>
      <c r="E616" s="17"/>
      <c r="F616" s="17" t="s">
        <v>14</v>
      </c>
      <c r="G616" s="17"/>
      <c r="H616" s="17" t="s">
        <v>437</v>
      </c>
      <c r="I616" s="17" t="s">
        <v>231</v>
      </c>
      <c r="J616" s="29" t="s">
        <v>1310</v>
      </c>
      <c r="K616" s="35" t="s">
        <v>437</v>
      </c>
      <c r="L616" s="32" t="str">
        <f t="shared" si="107"/>
        <v>172.29.10.69</v>
      </c>
      <c r="M616" s="32">
        <f t="shared" ref="M616:M620" si="119">J616+30000</f>
        <v>37626</v>
      </c>
      <c r="N616" s="32" t="str">
        <f t="shared" si="108"/>
        <v>172.29.10.70</v>
      </c>
      <c r="O616" s="35">
        <f t="shared" si="114"/>
        <v>47626</v>
      </c>
      <c r="P616" s="35" t="s">
        <v>94</v>
      </c>
      <c r="Q616" s="36" t="s">
        <v>95</v>
      </c>
      <c r="R616" s="3" t="str">
        <f t="shared" si="111"/>
        <v>"2":{"type":"con","dst_persist":"n","src":{"37626":{"raddr":"172.29.10.69:0","mhdr":"iBHb2","name":"NODO-01"},"47626":{"raddr":"172.29.10.70:0","mhdr":"iBHb2","name":"NODO-02"}},"dst":{"mode":"client","raddr":"172.19.211.101:7626","mhdr":"iBHb2","name":"Base24-POS5-02"},"plugin": {"file":"slb_plugin_rm_biciso.so","type":"RM","args": {"nodrop":"n"}}},</v>
      </c>
    </row>
    <row r="617" spans="1:18" ht="15" thickBot="1">
      <c r="A617" s="47"/>
      <c r="B617" s="23" t="s">
        <v>1347</v>
      </c>
      <c r="C617" s="23"/>
      <c r="D617" s="29">
        <v>3</v>
      </c>
      <c r="E617" s="29"/>
      <c r="F617" s="29" t="s">
        <v>14</v>
      </c>
      <c r="G617" s="29"/>
      <c r="H617" s="29" t="s">
        <v>437</v>
      </c>
      <c r="I617" s="17" t="s">
        <v>236</v>
      </c>
      <c r="J617" s="29" t="s">
        <v>1311</v>
      </c>
      <c r="K617" s="32" t="s">
        <v>437</v>
      </c>
      <c r="L617" s="32" t="str">
        <f t="shared" si="107"/>
        <v>172.29.10.69</v>
      </c>
      <c r="M617" s="32">
        <f t="shared" si="119"/>
        <v>37627</v>
      </c>
      <c r="N617" s="32" t="str">
        <f t="shared" si="108"/>
        <v>172.29.10.70</v>
      </c>
      <c r="O617" s="32">
        <f t="shared" si="114"/>
        <v>47627</v>
      </c>
      <c r="P617" s="32" t="s">
        <v>94</v>
      </c>
      <c r="Q617" s="49" t="s">
        <v>95</v>
      </c>
      <c r="R617" s="3" t="str">
        <f t="shared" si="111"/>
        <v>"3":{"type":"con","dst_persist":"n","src":{"37627":{"raddr":"172.29.10.69:0","mhdr":"iBHb2","name":"NODO-01"},"47627":{"raddr":"172.29.10.70:0","mhdr":"iBHb2","name":"NODO-02"}},"dst":{"mode":"client","raddr":"172.19.211.102:7627","mhdr":"iBHb2","name":"Base24-POS5-03"},"plugin": {"file":"slb_plugin_rm_biciso.so","type":"RM","args": {"nodrop":"n"}}},</v>
      </c>
    </row>
    <row r="618" spans="1:18" ht="15" thickBot="1">
      <c r="A618" s="40"/>
      <c r="B618" s="16" t="s">
        <v>1348</v>
      </c>
      <c r="C618" s="125"/>
      <c r="D618" s="29">
        <v>4</v>
      </c>
      <c r="E618" s="17"/>
      <c r="F618" s="17" t="s">
        <v>14</v>
      </c>
      <c r="G618" s="17"/>
      <c r="H618" s="17" t="s">
        <v>437</v>
      </c>
      <c r="I618" s="17" t="s">
        <v>236</v>
      </c>
      <c r="J618" s="29" t="s">
        <v>1312</v>
      </c>
      <c r="K618" s="35" t="s">
        <v>437</v>
      </c>
      <c r="L618" s="32" t="str">
        <f t="shared" si="107"/>
        <v>172.29.10.69</v>
      </c>
      <c r="M618" s="32">
        <f t="shared" si="119"/>
        <v>37628</v>
      </c>
      <c r="N618" s="32" t="str">
        <f t="shared" si="108"/>
        <v>172.29.10.70</v>
      </c>
      <c r="O618" s="35">
        <f t="shared" si="114"/>
        <v>47628</v>
      </c>
      <c r="P618" s="35" t="s">
        <v>94</v>
      </c>
      <c r="Q618" s="36" t="s">
        <v>95</v>
      </c>
      <c r="R618" s="3" t="str">
        <f t="shared" si="111"/>
        <v>"4":{"type":"con","dst_persist":"n","src":{"37628":{"raddr":"172.29.10.69:0","mhdr":"iBHb2","name":"NODO-01"},"47628":{"raddr":"172.29.10.70:0","mhdr":"iBHb2","name":"NODO-02"}},"dst":{"mode":"client","raddr":"172.19.211.102:7628","mhdr":"iBHb2","name":"Base24-POS5-04"},"plugin": {"file":"slb_plugin_rm_biciso.so","type":"RM","args": {"nodrop":"n"}}},</v>
      </c>
    </row>
    <row r="619" spans="1:18" ht="15" thickBot="1">
      <c r="A619" s="47"/>
      <c r="B619" s="23" t="s">
        <v>1349</v>
      </c>
      <c r="C619" s="23"/>
      <c r="D619" s="29">
        <v>5</v>
      </c>
      <c r="E619" s="29"/>
      <c r="F619" s="29" t="s">
        <v>14</v>
      </c>
      <c r="G619" s="29"/>
      <c r="H619" s="29" t="s">
        <v>437</v>
      </c>
      <c r="I619" s="17" t="s">
        <v>242</v>
      </c>
      <c r="J619" s="29" t="s">
        <v>1313</v>
      </c>
      <c r="K619" s="32" t="s">
        <v>437</v>
      </c>
      <c r="L619" s="32" t="str">
        <f t="shared" si="107"/>
        <v>172.29.10.69</v>
      </c>
      <c r="M619" s="32">
        <f t="shared" si="119"/>
        <v>37629</v>
      </c>
      <c r="N619" s="32" t="str">
        <f t="shared" si="108"/>
        <v>172.29.10.70</v>
      </c>
      <c r="O619" s="32">
        <f t="shared" si="114"/>
        <v>47629</v>
      </c>
      <c r="P619" s="32" t="s">
        <v>94</v>
      </c>
      <c r="Q619" s="49" t="s">
        <v>95</v>
      </c>
      <c r="R619" s="3" t="str">
        <f t="shared" si="111"/>
        <v>"5":{"type":"con","dst_persist":"n","src":{"37629":{"raddr":"172.29.10.69:0","mhdr":"iBHb2","name":"NODO-01"},"47629":{"raddr":"172.29.10.70:0","mhdr":"iBHb2","name":"NODO-02"}},"dst":{"mode":"client","raddr":"172.19.211.103:7629","mhdr":"iBHb2","name":"Base24-POS5-05"},"plugin": {"file":"slb_plugin_rm_biciso.so","type":"RM","args": {"nodrop":"n"}}},</v>
      </c>
    </row>
    <row r="620" spans="1:18" ht="15" thickBot="1">
      <c r="A620" s="40"/>
      <c r="B620" s="16" t="s">
        <v>1350</v>
      </c>
      <c r="C620" s="125"/>
      <c r="D620" s="29">
        <v>6</v>
      </c>
      <c r="E620" s="17"/>
      <c r="F620" s="17" t="s">
        <v>14</v>
      </c>
      <c r="G620" s="17"/>
      <c r="H620" s="17" t="s">
        <v>437</v>
      </c>
      <c r="I620" s="17" t="s">
        <v>242</v>
      </c>
      <c r="J620" s="29" t="s">
        <v>1314</v>
      </c>
      <c r="K620" s="35" t="s">
        <v>437</v>
      </c>
      <c r="L620" s="32" t="str">
        <f t="shared" si="107"/>
        <v>172.29.10.69</v>
      </c>
      <c r="M620" s="32">
        <f t="shared" si="119"/>
        <v>37630</v>
      </c>
      <c r="N620" s="32" t="str">
        <f t="shared" si="108"/>
        <v>172.29.10.70</v>
      </c>
      <c r="O620" s="35">
        <f t="shared" si="114"/>
        <v>47630</v>
      </c>
      <c r="P620" s="35" t="s">
        <v>94</v>
      </c>
      <c r="Q620" s="36" t="s">
        <v>96</v>
      </c>
      <c r="R620" s="3" t="str">
        <f t="shared" si="111"/>
        <v>"6":{"type":"con","dst_persist":"n","src":{"37630":{"raddr":"172.29.10.69:0","mhdr":"iBHb2","name":"NODO-01"},"47630":{"raddr":"172.29.10.70:0","mhdr":"iBHb2","name":"NODO-02"}},"dst":{"mode":"client","raddr":"172.19.211.103:7630","mhdr":"iBHb2","name":"Base24-POS5-06"},"plugin": {"file":"slb_plugin_rm_biciso.so","type":"RM","args": {"nodrop":"n"}}}}},</v>
      </c>
    </row>
    <row r="621" spans="1:18" ht="15" thickBot="1">
      <c r="A621" s="47">
        <v>23</v>
      </c>
      <c r="B621" s="23" t="s">
        <v>1351</v>
      </c>
      <c r="C621" s="23"/>
      <c r="D621" s="29">
        <v>1</v>
      </c>
      <c r="E621" s="29"/>
      <c r="F621" s="29" t="s">
        <v>14</v>
      </c>
      <c r="G621" s="29"/>
      <c r="H621" s="29" t="s">
        <v>437</v>
      </c>
      <c r="I621" s="17" t="s">
        <v>231</v>
      </c>
      <c r="J621" s="29" t="s">
        <v>1315</v>
      </c>
      <c r="K621" s="32" t="s">
        <v>437</v>
      </c>
      <c r="L621" s="32" t="str">
        <f t="shared" si="107"/>
        <v>172.29.10.69</v>
      </c>
      <c r="M621" s="32">
        <f>J621+30000</f>
        <v>37631</v>
      </c>
      <c r="N621" s="32" t="str">
        <f t="shared" si="108"/>
        <v>172.29.10.70</v>
      </c>
      <c r="O621" s="32">
        <f t="shared" si="114"/>
        <v>47631</v>
      </c>
      <c r="P621" s="32" t="s">
        <v>94</v>
      </c>
      <c r="Q621" s="49" t="s">
        <v>95</v>
      </c>
      <c r="R621" s="3" t="str">
        <f t="shared" si="111"/>
        <v>"23":{"rules":{"1":{"type":"con","dst_persist":"n","src":{"37631":{"raddr":"172.29.10.69:0","mhdr":"iBHb2","name":"NODO-01"},"47631":{"raddr":"172.29.10.70:0","mhdr":"iBHb2","name":"NODO-02"}},"dst":{"mode":"client","raddr":"172.19.211.101:7631","mhdr":"iBHb2","name":"Base24-POS6-01"},"plugin": {"file":"slb_plugin_rm_biciso.so","type":"RM","args": {"nodrop":"n"}}},</v>
      </c>
    </row>
    <row r="622" spans="1:18" ht="15" thickBot="1">
      <c r="A622" s="40"/>
      <c r="B622" s="16" t="s">
        <v>1352</v>
      </c>
      <c r="C622" s="125"/>
      <c r="D622" s="29">
        <v>2</v>
      </c>
      <c r="E622" s="17"/>
      <c r="F622" s="17" t="s">
        <v>14</v>
      </c>
      <c r="G622" s="17"/>
      <c r="H622" s="17" t="s">
        <v>437</v>
      </c>
      <c r="I622" s="17" t="s">
        <v>231</v>
      </c>
      <c r="J622" s="29" t="s">
        <v>1316</v>
      </c>
      <c r="K622" s="35" t="s">
        <v>437</v>
      </c>
      <c r="L622" s="32" t="str">
        <f t="shared" si="107"/>
        <v>172.29.10.69</v>
      </c>
      <c r="M622" s="32">
        <f t="shared" ref="M622:M628" si="120">J622+30000</f>
        <v>37632</v>
      </c>
      <c r="N622" s="32" t="str">
        <f t="shared" si="108"/>
        <v>172.29.10.70</v>
      </c>
      <c r="O622" s="35">
        <f t="shared" si="114"/>
        <v>47632</v>
      </c>
      <c r="P622" s="35" t="s">
        <v>94</v>
      </c>
      <c r="Q622" s="36" t="s">
        <v>95</v>
      </c>
      <c r="R622" s="3" t="str">
        <f t="shared" si="111"/>
        <v>"2":{"type":"con","dst_persist":"n","src":{"37632":{"raddr":"172.29.10.69:0","mhdr":"iBHb2","name":"NODO-01"},"47632":{"raddr":"172.29.10.70:0","mhdr":"iBHb2","name":"NODO-02"}},"dst":{"mode":"client","raddr":"172.19.211.101:7632","mhdr":"iBHb2","name":"Base24-POS6-02"},"plugin": {"file":"slb_plugin_rm_biciso.so","type":"RM","args": {"nodrop":"n"}}},</v>
      </c>
    </row>
    <row r="623" spans="1:18" ht="15" thickBot="1">
      <c r="A623" s="47"/>
      <c r="B623" s="23" t="s">
        <v>1353</v>
      </c>
      <c r="C623" s="23"/>
      <c r="D623" s="29">
        <v>3</v>
      </c>
      <c r="E623" s="29"/>
      <c r="F623" s="29" t="s">
        <v>14</v>
      </c>
      <c r="G623" s="29"/>
      <c r="H623" s="29" t="s">
        <v>437</v>
      </c>
      <c r="I623" s="17" t="s">
        <v>236</v>
      </c>
      <c r="J623" s="29" t="s">
        <v>1317</v>
      </c>
      <c r="K623" s="32" t="s">
        <v>437</v>
      </c>
      <c r="L623" s="32" t="str">
        <f t="shared" si="107"/>
        <v>172.29.10.69</v>
      </c>
      <c r="M623" s="32">
        <f t="shared" si="120"/>
        <v>37633</v>
      </c>
      <c r="N623" s="32" t="str">
        <f t="shared" si="108"/>
        <v>172.29.10.70</v>
      </c>
      <c r="O623" s="32">
        <f t="shared" si="114"/>
        <v>47633</v>
      </c>
      <c r="P623" s="32" t="s">
        <v>94</v>
      </c>
      <c r="Q623" s="49" t="s">
        <v>95</v>
      </c>
      <c r="R623" s="3" t="str">
        <f t="shared" si="111"/>
        <v>"3":{"type":"con","dst_persist":"n","src":{"37633":{"raddr":"172.29.10.69:0","mhdr":"iBHb2","name":"NODO-01"},"47633":{"raddr":"172.29.10.70:0","mhdr":"iBHb2","name":"NODO-02"}},"dst":{"mode":"client","raddr":"172.19.211.102:7633","mhdr":"iBHb2","name":"Base24-POS6-03"},"plugin": {"file":"slb_plugin_rm_biciso.so","type":"RM","args": {"nodrop":"n"}}},</v>
      </c>
    </row>
    <row r="624" spans="1:18" ht="15" thickBot="1">
      <c r="A624" s="40"/>
      <c r="B624" s="16" t="s">
        <v>1354</v>
      </c>
      <c r="C624" s="125"/>
      <c r="D624" s="29">
        <v>4</v>
      </c>
      <c r="E624" s="17"/>
      <c r="F624" s="17" t="s">
        <v>14</v>
      </c>
      <c r="G624" s="17"/>
      <c r="H624" s="17" t="s">
        <v>437</v>
      </c>
      <c r="I624" s="17" t="s">
        <v>236</v>
      </c>
      <c r="J624" s="29" t="s">
        <v>1318</v>
      </c>
      <c r="K624" s="35" t="s">
        <v>437</v>
      </c>
      <c r="L624" s="32" t="str">
        <f t="shared" si="107"/>
        <v>172.29.10.69</v>
      </c>
      <c r="M624" s="32">
        <f t="shared" si="120"/>
        <v>37634</v>
      </c>
      <c r="N624" s="32" t="str">
        <f t="shared" si="108"/>
        <v>172.29.10.70</v>
      </c>
      <c r="O624" s="35">
        <f t="shared" si="114"/>
        <v>47634</v>
      </c>
      <c r="P624" s="35" t="s">
        <v>94</v>
      </c>
      <c r="Q624" s="36" t="s">
        <v>95</v>
      </c>
      <c r="R624" s="3" t="str">
        <f t="shared" si="111"/>
        <v>"4":{"type":"con","dst_persist":"n","src":{"37634":{"raddr":"172.29.10.69:0","mhdr":"iBHb2","name":"NODO-01"},"47634":{"raddr":"172.29.10.70:0","mhdr":"iBHb2","name":"NODO-02"}},"dst":{"mode":"client","raddr":"172.19.211.102:7634","mhdr":"iBHb2","name":"Base24-POS6-04"},"plugin": {"file":"slb_plugin_rm_biciso.so","type":"RM","args": {"nodrop":"n"}}},</v>
      </c>
    </row>
    <row r="625" spans="1:18" ht="15" thickBot="1">
      <c r="A625" s="47"/>
      <c r="B625" s="23" t="s">
        <v>1355</v>
      </c>
      <c r="C625" s="23"/>
      <c r="D625" s="29">
        <v>5</v>
      </c>
      <c r="E625" s="29"/>
      <c r="F625" s="29" t="s">
        <v>14</v>
      </c>
      <c r="G625" s="29"/>
      <c r="H625" s="29" t="s">
        <v>437</v>
      </c>
      <c r="I625" s="17" t="s">
        <v>242</v>
      </c>
      <c r="J625" s="29" t="s">
        <v>1319</v>
      </c>
      <c r="K625" s="32" t="s">
        <v>437</v>
      </c>
      <c r="L625" s="32" t="str">
        <f t="shared" si="107"/>
        <v>172.29.10.69</v>
      </c>
      <c r="M625" s="32">
        <f t="shared" si="120"/>
        <v>37635</v>
      </c>
      <c r="N625" s="32" t="str">
        <f t="shared" si="108"/>
        <v>172.29.10.70</v>
      </c>
      <c r="O625" s="32">
        <f t="shared" si="114"/>
        <v>47635</v>
      </c>
      <c r="P625" s="32" t="s">
        <v>94</v>
      </c>
      <c r="Q625" s="49" t="s">
        <v>95</v>
      </c>
      <c r="R625" s="3" t="str">
        <f t="shared" si="111"/>
        <v>"5":{"type":"con","dst_persist":"n","src":{"37635":{"raddr":"172.29.10.69:0","mhdr":"iBHb2","name":"NODO-01"},"47635":{"raddr":"172.29.10.70:0","mhdr":"iBHb2","name":"NODO-02"}},"dst":{"mode":"client","raddr":"172.19.211.103:7635","mhdr":"iBHb2","name":"Base24-POS6-05"},"plugin": {"file":"slb_plugin_rm_biciso.so","type":"RM","args": {"nodrop":"n"}}},</v>
      </c>
    </row>
    <row r="626" spans="1:18" ht="15" thickBot="1">
      <c r="A626" s="40"/>
      <c r="B626" s="16" t="s">
        <v>1356</v>
      </c>
      <c r="C626" s="125"/>
      <c r="D626" s="29">
        <v>6</v>
      </c>
      <c r="E626" s="17"/>
      <c r="F626" s="17" t="s">
        <v>14</v>
      </c>
      <c r="G626" s="17"/>
      <c r="H626" s="17" t="s">
        <v>437</v>
      </c>
      <c r="I626" s="17" t="s">
        <v>242</v>
      </c>
      <c r="J626" s="29" t="s">
        <v>1320</v>
      </c>
      <c r="K626" s="35" t="s">
        <v>437</v>
      </c>
      <c r="L626" s="32" t="str">
        <f t="shared" si="107"/>
        <v>172.29.10.69</v>
      </c>
      <c r="M626" s="32">
        <f t="shared" si="120"/>
        <v>37636</v>
      </c>
      <c r="N626" s="32" t="str">
        <f t="shared" si="108"/>
        <v>172.29.10.70</v>
      </c>
      <c r="O626" s="35">
        <f t="shared" si="114"/>
        <v>47636</v>
      </c>
      <c r="P626" s="35" t="s">
        <v>94</v>
      </c>
      <c r="Q626" s="36" t="s">
        <v>96</v>
      </c>
      <c r="R626" s="3" t="str">
        <f t="shared" si="111"/>
        <v>"6":{"type":"con","dst_persist":"n","src":{"37636":{"raddr":"172.29.10.69:0","mhdr":"iBHb2","name":"NODO-01"},"47636":{"raddr":"172.29.10.70:0","mhdr":"iBHb2","name":"NODO-02"}},"dst":{"mode":"client","raddr":"172.19.211.103:7636","mhdr":"iBHb2","name":"Base24-POS6-06"},"plugin": {"file":"slb_plugin_rm_biciso.so","type":"RM","args": {"nodrop":"n"}}}}},</v>
      </c>
    </row>
    <row r="627" spans="1:18" ht="15" thickBot="1">
      <c r="A627" s="21">
        <v>24</v>
      </c>
      <c r="B627" s="23" t="s">
        <v>193</v>
      </c>
      <c r="C627" s="23"/>
      <c r="D627" s="29">
        <v>1</v>
      </c>
      <c r="E627" s="22"/>
      <c r="F627" s="22" t="s">
        <v>8</v>
      </c>
      <c r="G627" s="22" t="s">
        <v>1389</v>
      </c>
      <c r="H627" s="17" t="s">
        <v>55</v>
      </c>
      <c r="I627" s="22"/>
      <c r="J627" s="22">
        <v>8615</v>
      </c>
      <c r="K627" s="32" t="s">
        <v>55</v>
      </c>
      <c r="L627" s="32" t="str">
        <f t="shared" si="107"/>
        <v>172.29.10.69</v>
      </c>
      <c r="M627" s="32">
        <f t="shared" si="120"/>
        <v>38615</v>
      </c>
      <c r="N627" s="32" t="str">
        <f t="shared" si="108"/>
        <v>172.29.10.70</v>
      </c>
      <c r="O627" s="35">
        <f t="shared" si="114"/>
        <v>48615</v>
      </c>
      <c r="P627" s="35" t="s">
        <v>94</v>
      </c>
      <c r="Q627" s="49" t="s">
        <v>95</v>
      </c>
      <c r="R627" s="3" t="str">
        <f t="shared" si="111"/>
        <v>"24":{"rules":{"1":{"type":"con","dst_persist":"n","src":{"38615":{"raddr":"172.29.10.69:0","mhdr":"BHb2","name":"NODO-01"},"48615":{"raddr":"172.29.10.70:0","mhdr":"BHb2","name":"NODO-02"}},"dst":{"mode":"server","raddr":"172.19.202.183:0","lport":"8615 BHb2","name":"Cencosud In 1"},"plugin": {"file":"slb_plugin_rm_biciso.so","type":"RM","args": {"nodrop":"n"}}},</v>
      </c>
    </row>
    <row r="628" spans="1:18" ht="15" thickBot="1">
      <c r="A628" s="21"/>
      <c r="B628" s="7" t="s">
        <v>194</v>
      </c>
      <c r="C628" s="18"/>
      <c r="D628" s="29">
        <v>2</v>
      </c>
      <c r="E628" s="22"/>
      <c r="F628" s="22" t="s">
        <v>8</v>
      </c>
      <c r="G628" s="22" t="s">
        <v>1389</v>
      </c>
      <c r="H628" s="17" t="s">
        <v>55</v>
      </c>
      <c r="I628" s="22"/>
      <c r="J628" s="22">
        <v>8715</v>
      </c>
      <c r="K628" s="32" t="s">
        <v>55</v>
      </c>
      <c r="L628" s="32" t="str">
        <f t="shared" si="107"/>
        <v>172.29.10.69</v>
      </c>
      <c r="M628" s="32">
        <f t="shared" si="120"/>
        <v>38715</v>
      </c>
      <c r="N628" s="32" t="str">
        <f t="shared" si="108"/>
        <v>172.29.10.70</v>
      </c>
      <c r="O628" s="35">
        <f t="shared" si="114"/>
        <v>48715</v>
      </c>
      <c r="P628" s="35" t="s">
        <v>94</v>
      </c>
      <c r="Q628" s="36" t="s">
        <v>95</v>
      </c>
      <c r="R628" s="3" t="str">
        <f t="shared" si="111"/>
        <v>"2":{"type":"con","dst_persist":"n","src":{"38715":{"raddr":"172.29.10.69:0","mhdr":"BHb2","name":"NODO-01"},"48715":{"raddr":"172.29.10.70:0","mhdr":"BHb2","name":"NODO-02"}},"dst":{"mode":"server","raddr":"172.19.202.183:0","lport":"8715 BHb2","name":"Cencosud In 2"},"plugin": {"file":"slb_plugin_rm_biciso.so","type":"RM","args": {"nodrop":"n"}}},</v>
      </c>
    </row>
    <row r="629" spans="1:18" ht="15" thickBot="1">
      <c r="A629" s="21"/>
      <c r="B629" s="7" t="s">
        <v>195</v>
      </c>
      <c r="C629" s="18"/>
      <c r="D629" s="29">
        <v>3</v>
      </c>
      <c r="E629" s="22"/>
      <c r="F629" s="22" t="s">
        <v>14</v>
      </c>
      <c r="G629" s="22"/>
      <c r="H629" s="17" t="s">
        <v>55</v>
      </c>
      <c r="I629" s="17" t="s">
        <v>236</v>
      </c>
      <c r="J629" s="22">
        <v>8615</v>
      </c>
      <c r="K629" s="32" t="s">
        <v>55</v>
      </c>
      <c r="L629" s="32" t="str">
        <f t="shared" si="107"/>
        <v>172.29.10.69</v>
      </c>
      <c r="M629" s="32">
        <f>J629+50000</f>
        <v>58615</v>
      </c>
      <c r="N629" s="32" t="str">
        <f t="shared" si="108"/>
        <v>172.29.10.70</v>
      </c>
      <c r="O629" s="35">
        <f>+M629+-30000</f>
        <v>28615</v>
      </c>
      <c r="P629" s="35" t="s">
        <v>94</v>
      </c>
      <c r="Q629" s="49" t="s">
        <v>95</v>
      </c>
      <c r="R629" s="3" t="str">
        <f t="shared" si="111"/>
        <v>"3":{"type":"con","dst_persist":"n","src":{"58615":{"raddr":"172.29.10.69:0","mhdr":"BHb2","name":"NODO-01"},"28615":{"raddr":"172.29.10.70:0","mhdr":"BHb2","name":"NODO-02"}},"dst":{"mode":"client","raddr":"172.19.211.102:8615","mhdr":"BHb2","name":"Cencosud Out 1"},"plugin": {"file":"slb_plugin_rm_biciso.so","type":"RM","args": {"nodrop":"n"}}},</v>
      </c>
    </row>
    <row r="630" spans="1:18" ht="15" thickBot="1">
      <c r="A630" s="21"/>
      <c r="B630" s="16" t="s">
        <v>196</v>
      </c>
      <c r="C630" s="125"/>
      <c r="D630" s="29">
        <v>4</v>
      </c>
      <c r="E630" s="22"/>
      <c r="F630" s="22" t="s">
        <v>14</v>
      </c>
      <c r="G630" s="22"/>
      <c r="H630" s="17" t="s">
        <v>55</v>
      </c>
      <c r="I630" s="17" t="s">
        <v>236</v>
      </c>
      <c r="J630" s="22">
        <v>8715</v>
      </c>
      <c r="K630" s="32" t="s">
        <v>55</v>
      </c>
      <c r="L630" s="32" t="str">
        <f t="shared" si="107"/>
        <v>172.29.10.69</v>
      </c>
      <c r="M630" s="32">
        <f>J630+50000</f>
        <v>58715</v>
      </c>
      <c r="N630" s="32" t="str">
        <f t="shared" si="108"/>
        <v>172.29.10.70</v>
      </c>
      <c r="O630" s="35">
        <f>+M630+-30000</f>
        <v>28715</v>
      </c>
      <c r="P630" s="35" t="s">
        <v>94</v>
      </c>
      <c r="Q630" s="36" t="s">
        <v>96</v>
      </c>
      <c r="R630" s="3" t="str">
        <f t="shared" si="111"/>
        <v>"4":{"type":"con","dst_persist":"n","src":{"58715":{"raddr":"172.29.10.69:0","mhdr":"BHb2","name":"NODO-01"},"28715":{"raddr":"172.29.10.70:0","mhdr":"BHb2","name":"NODO-02"}},"dst":{"mode":"client","raddr":"172.19.211.102:8715","mhdr":"BHb2","name":"Cencosud Out 2"},"plugin": {"file":"slb_plugin_rm_biciso.so","type":"RM","args": {"nodrop":"n"}}}}},</v>
      </c>
    </row>
    <row r="631" spans="1:18" ht="15" thickBot="1">
      <c r="A631" s="21">
        <v>25</v>
      </c>
      <c r="B631" s="23" t="s">
        <v>1428</v>
      </c>
      <c r="C631" s="23"/>
      <c r="D631" s="29">
        <v>1</v>
      </c>
      <c r="E631" s="93" t="s">
        <v>1263</v>
      </c>
      <c r="F631" s="29" t="s">
        <v>8</v>
      </c>
      <c r="G631" s="29" t="s">
        <v>1432</v>
      </c>
      <c r="H631" s="29" t="s">
        <v>55</v>
      </c>
      <c r="I631" s="29"/>
      <c r="J631" s="29">
        <v>8810</v>
      </c>
      <c r="K631" s="32" t="s">
        <v>55</v>
      </c>
      <c r="L631" s="35" t="str">
        <f t="shared" ref="L631:L634" si="121">+$B$2</f>
        <v>172.29.12.67</v>
      </c>
      <c r="M631" s="32">
        <f t="shared" ref="M631:M632" si="122">J631+30000</f>
        <v>38810</v>
      </c>
      <c r="N631" s="35" t="str">
        <f t="shared" ref="N631:N634" si="123">+$B$3</f>
        <v>172.29.9.67</v>
      </c>
      <c r="O631" s="35">
        <f t="shared" ref="O631:O632" si="124">+M631+10000</f>
        <v>48810</v>
      </c>
      <c r="P631" s="35" t="s">
        <v>94</v>
      </c>
      <c r="Q631" s="49" t="s">
        <v>95</v>
      </c>
      <c r="R631" s="3" t="str">
        <f t="shared" si="111"/>
        <v>"25":{"rules":{"1":{"type":"con","dst_persist":"n","src":{"38810":{"raddr":"172.29.12.67:0","mhdr":"BHb2","name":"NODO-01"},"48810":{"raddr":"172.29.9.67:0","mhdr":"BHb2","name":"NODO-02"}},"dst":{"mode":"server","raddr":"172.100.3.24:0","lport":"8810 BHb2","name":"ETEK In 1"},"plugin": {"file":"slb_plugin_rm_biciso.so","type":"RM","args": {"nodrop":"n"}}},</v>
      </c>
    </row>
    <row r="632" spans="1:18" ht="15" thickBot="1">
      <c r="A632" s="21"/>
      <c r="B632" s="7" t="s">
        <v>1429</v>
      </c>
      <c r="C632" s="7"/>
      <c r="D632" s="8">
        <v>2</v>
      </c>
      <c r="E632" s="43" t="s">
        <v>1264</v>
      </c>
      <c r="F632" s="8" t="s">
        <v>8</v>
      </c>
      <c r="G632" s="8" t="s">
        <v>1432</v>
      </c>
      <c r="H632" s="8" t="s">
        <v>55</v>
      </c>
      <c r="I632" s="8"/>
      <c r="J632" s="8">
        <v>8811</v>
      </c>
      <c r="K632" s="32" t="s">
        <v>55</v>
      </c>
      <c r="L632" s="35" t="str">
        <f t="shared" si="121"/>
        <v>172.29.12.67</v>
      </c>
      <c r="M632" s="32">
        <f t="shared" si="122"/>
        <v>38811</v>
      </c>
      <c r="N632" s="35" t="str">
        <f t="shared" si="123"/>
        <v>172.29.9.67</v>
      </c>
      <c r="O632" s="35">
        <f t="shared" si="124"/>
        <v>48811</v>
      </c>
      <c r="P632" s="35" t="s">
        <v>94</v>
      </c>
      <c r="Q632" s="36" t="s">
        <v>95</v>
      </c>
      <c r="R632" s="3" t="str">
        <f t="shared" si="111"/>
        <v>"2":{"type":"con","dst_persist":"n","src":{"38811":{"raddr":"172.29.12.67:0","mhdr":"BHb2","name":"NODO-01"},"48811":{"raddr":"172.29.9.67:0","mhdr":"BHb2","name":"NODO-02"}},"dst":{"mode":"server","raddr":"172.100.3.24:0","lport":"8811 BHb2","name":"ETEK In 2"},"plugin": {"file":"slb_plugin_rm_biciso.so","type":"RM","args": {"nodrop":"n"}}},</v>
      </c>
    </row>
    <row r="633" spans="1:18" ht="15" thickBot="1">
      <c r="A633" s="21"/>
      <c r="B633" s="7" t="s">
        <v>1430</v>
      </c>
      <c r="C633" s="7"/>
      <c r="D633" s="8">
        <v>3</v>
      </c>
      <c r="E633" s="43" t="s">
        <v>1265</v>
      </c>
      <c r="F633" s="8" t="s">
        <v>14</v>
      </c>
      <c r="G633" s="8"/>
      <c r="H633" s="8" t="s">
        <v>55</v>
      </c>
      <c r="I633" s="8" t="s">
        <v>236</v>
      </c>
      <c r="J633" s="8">
        <v>8810</v>
      </c>
      <c r="K633" s="32" t="s">
        <v>55</v>
      </c>
      <c r="L633" s="35" t="str">
        <f t="shared" si="121"/>
        <v>172.29.12.67</v>
      </c>
      <c r="M633" s="32">
        <f>J633+50000</f>
        <v>58810</v>
      </c>
      <c r="N633" s="35" t="str">
        <f t="shared" si="123"/>
        <v>172.29.9.67</v>
      </c>
      <c r="O633" s="35">
        <f>+M633+-30000</f>
        <v>28810</v>
      </c>
      <c r="P633" s="35" t="s">
        <v>94</v>
      </c>
      <c r="Q633" s="49" t="s">
        <v>95</v>
      </c>
      <c r="R633" s="3" t="str">
        <f t="shared" si="111"/>
        <v>"3":{"type":"con","dst_persist":"n","src":{"58810":{"raddr":"172.29.12.67:0","mhdr":"BHb2","name":"NODO-01"},"28810":{"raddr":"172.29.9.67:0","mhdr":"BHb2","name":"NODO-02"}},"dst":{"mode":"client","raddr":"172.19.211.102:8810","mhdr":"BHb2","name":"ETEK Out 1"},"plugin": {"file":"slb_plugin_rm_biciso.so","type":"RM","args": {"nodrop":"n"}}},</v>
      </c>
    </row>
    <row r="634" spans="1:18" ht="15" thickBot="1">
      <c r="A634" s="21"/>
      <c r="B634" s="16" t="s">
        <v>1431</v>
      </c>
      <c r="C634" s="16"/>
      <c r="D634" s="17">
        <v>4</v>
      </c>
      <c r="E634" s="44" t="s">
        <v>1266</v>
      </c>
      <c r="F634" s="17" t="s">
        <v>14</v>
      </c>
      <c r="G634" s="17"/>
      <c r="H634" s="17" t="s">
        <v>55</v>
      </c>
      <c r="I634" s="17" t="s">
        <v>236</v>
      </c>
      <c r="J634" s="17">
        <v>8811</v>
      </c>
      <c r="K634" s="32" t="s">
        <v>55</v>
      </c>
      <c r="L634" s="35" t="str">
        <f t="shared" si="121"/>
        <v>172.29.12.67</v>
      </c>
      <c r="M634" s="32">
        <f>J634+50000</f>
        <v>58811</v>
      </c>
      <c r="N634" s="35" t="str">
        <f t="shared" si="123"/>
        <v>172.29.9.67</v>
      </c>
      <c r="O634" s="35">
        <f>+M634+-30000</f>
        <v>28811</v>
      </c>
      <c r="P634" s="35" t="s">
        <v>94</v>
      </c>
      <c r="Q634" s="36" t="s">
        <v>126</v>
      </c>
      <c r="R634" s="3" t="str">
        <f t="shared" si="111"/>
        <v>"4":{"type":"con","dst_persist":"n","src":{"58811":{"raddr":"172.29.12.67:0","mhdr":"BHb2","name":"NODO-01"},"28811":{"raddr":"172.29.9.67:0","mhdr":"BHb2","name":"NODO-02"}},"dst":{"mode":"client","raddr":"172.19.211.102:8811","mhdr":"BHb2","name":"ETEK Out 2"},"plugin": {"file":"slb_plugin_rm_biciso.so","type":"RM","args": {"nodrop":"n"}}}}}</v>
      </c>
    </row>
    <row r="635" spans="1:18">
      <c r="R635" s="3" t="s">
        <v>0</v>
      </c>
    </row>
  </sheetData>
  <autoFilter ref="A176:R176" xr:uid="{00000000-0009-0000-0000-000000000000}"/>
  <dataValidations count="1">
    <dataValidation type="list" allowBlank="1" showInputMessage="1" showErrorMessage="1" sqref="F519:F634 F362:F512 F9:F172 F514 F177:F357" xr:uid="{00000000-0002-0000-0000-000000000000}">
      <formula1>"server, client"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22"/>
  <sheetViews>
    <sheetView topLeftCell="H100" zoomScale="118" zoomScaleNormal="118" workbookViewId="0">
      <selection activeCell="R5" sqref="R5:R122"/>
    </sheetView>
  </sheetViews>
  <sheetFormatPr defaultColWidth="8.7265625" defaultRowHeight="14.5"/>
  <cols>
    <col min="1" max="1" width="15.26953125" bestFit="1" customWidth="1"/>
    <col min="2" max="2" width="41.1796875" bestFit="1" customWidth="1"/>
    <col min="3" max="3" width="3.90625" customWidth="1"/>
    <col min="4" max="4" width="5.6328125" customWidth="1"/>
    <col min="5" max="5" width="14" style="5" customWidth="1"/>
    <col min="6" max="6" width="10.54296875" customWidth="1"/>
    <col min="7" max="7" width="15.453125" customWidth="1"/>
    <col min="8" max="8" width="10.1796875" customWidth="1"/>
    <col min="9" max="9" width="16" customWidth="1"/>
    <col min="10" max="10" width="14.453125" bestFit="1" customWidth="1"/>
    <col min="11" max="11" width="11.81640625" customWidth="1"/>
    <col min="12" max="12" width="13.453125" bestFit="1" customWidth="1"/>
    <col min="13" max="13" width="9.81640625" bestFit="1" customWidth="1"/>
    <col min="14" max="14" width="22.54296875" bestFit="1" customWidth="1"/>
    <col min="15" max="15" width="9.81640625" bestFit="1" customWidth="1"/>
    <col min="16" max="16" width="27" customWidth="1"/>
    <col min="17" max="17" width="18" customWidth="1"/>
    <col min="18" max="18" width="53.7265625" style="4" customWidth="1"/>
  </cols>
  <sheetData>
    <row r="1" spans="1:18">
      <c r="A1" s="20"/>
      <c r="B1" s="1" t="s">
        <v>1433</v>
      </c>
      <c r="C1" s="21"/>
      <c r="D1" s="21"/>
      <c r="E1" s="22"/>
      <c r="F1" s="21"/>
      <c r="K1" s="21"/>
      <c r="L1" s="21"/>
      <c r="M1" s="21"/>
      <c r="N1" s="21"/>
      <c r="O1" s="21"/>
      <c r="P1" s="21"/>
      <c r="Q1" s="21"/>
      <c r="R1" s="3"/>
    </row>
    <row r="2" spans="1:18">
      <c r="A2" s="1" t="s">
        <v>1</v>
      </c>
      <c r="B2" t="s">
        <v>46</v>
      </c>
    </row>
    <row r="3" spans="1:18">
      <c r="A3" s="1" t="s">
        <v>3</v>
      </c>
      <c r="B3" t="s">
        <v>47</v>
      </c>
      <c r="G3" t="s">
        <v>394</v>
      </c>
      <c r="R3" s="3"/>
    </row>
    <row r="4" spans="1:18" ht="15" thickBot="1">
      <c r="A4" s="1" t="s">
        <v>4</v>
      </c>
      <c r="B4" t="s">
        <v>48</v>
      </c>
      <c r="G4" t="s">
        <v>395</v>
      </c>
      <c r="R4" s="3"/>
    </row>
    <row r="5" spans="1:18" ht="44" thickBot="1">
      <c r="A5" s="24" t="s">
        <v>79</v>
      </c>
      <c r="B5" s="26" t="s">
        <v>9</v>
      </c>
      <c r="C5" s="26" t="s">
        <v>499</v>
      </c>
      <c r="D5" s="26" t="s">
        <v>7</v>
      </c>
      <c r="E5" s="26" t="s">
        <v>58</v>
      </c>
      <c r="F5" s="26" t="s">
        <v>27</v>
      </c>
      <c r="G5" s="26" t="s">
        <v>11</v>
      </c>
      <c r="H5" s="27" t="s">
        <v>61</v>
      </c>
      <c r="I5" s="26" t="s">
        <v>12</v>
      </c>
      <c r="J5" s="25" t="s">
        <v>15</v>
      </c>
      <c r="K5" s="31" t="s">
        <v>62</v>
      </c>
      <c r="L5" s="26" t="s">
        <v>23</v>
      </c>
      <c r="M5" s="26" t="s">
        <v>25</v>
      </c>
      <c r="N5" s="26" t="s">
        <v>24</v>
      </c>
      <c r="O5" s="26" t="s">
        <v>26</v>
      </c>
      <c r="P5" s="26" t="s">
        <v>93</v>
      </c>
      <c r="Q5" s="28" t="s">
        <v>54</v>
      </c>
      <c r="R5" s="3" t="str">
        <f>CONCATENATE("{""",B2,""":{""routers"":{")</f>
        <v>{"172.29.10.68":{"routers":{</v>
      </c>
    </row>
    <row r="6" spans="1:18" ht="15" thickBot="1">
      <c r="A6" s="47">
        <v>1</v>
      </c>
      <c r="B6" s="10" t="s">
        <v>10</v>
      </c>
      <c r="C6" s="10"/>
      <c r="D6" s="29">
        <v>1</v>
      </c>
      <c r="E6" s="29"/>
      <c r="F6" s="29" t="s">
        <v>8</v>
      </c>
      <c r="G6" s="11" t="s">
        <v>49</v>
      </c>
      <c r="H6" s="11" t="s">
        <v>55</v>
      </c>
      <c r="I6" s="29"/>
      <c r="J6" s="11">
        <v>6003</v>
      </c>
      <c r="K6" s="32" t="s">
        <v>55</v>
      </c>
      <c r="L6" s="32" t="str">
        <f>$B$3</f>
        <v>172.29.10.69</v>
      </c>
      <c r="M6" s="48">
        <v>30001</v>
      </c>
      <c r="N6" s="32" t="str">
        <f>$B$4</f>
        <v>172.29.10.70</v>
      </c>
      <c r="O6" s="48">
        <f>+M6+10000</f>
        <v>40001</v>
      </c>
      <c r="P6" s="32" t="s">
        <v>141</v>
      </c>
      <c r="Q6" s="49" t="s">
        <v>95</v>
      </c>
      <c r="R6" s="3" t="str">
        <f>CONCATENATE(IF(A6&lt;&gt;"",CONCATENATE("""",A6,"""",":{","""","rules","""",":{"),""),"""",D6,""":{""type"":""con"",""dst_persist"":""n"",""src"":{""",M6,""":{""raddr"":""",L6,":0"",""mhdr"":""",K6,""",","""name""",":","""NODO-01","""},""",O6,""":{""raddr"":""",N6,":0"",""mhdr"":""",K6,""",","""name""",":","""NODO-02","""}},","""dst"":{""mode"":""",F6,""",""raddr"":""",IF(F6="server",G6,I6),":",IF(F6="server",0,J6),""",""",IF(F6="server","lport","mhdr"),""":""",IF(F6="server",J6,""),IF(F6="server"," ",""),K6,""",","""name""",":","""",B6,IF(P6&lt;&gt;"",CONCATENATE("""},","""plugin""",": {","""file""",":""",P6,""",","""type""",":","""","RM""",",","""args""",": {","""nodrop""",":","""n""","}")),Q6)</f>
        <v>"1":{"rules":{"1":{"type":"con","dst_persist":"n","src":{"30001":{"raddr":"172.29.10.69:0","mhdr":"BHb2","name":"NODO-01"},"40001":{"raddr":"172.29.10.70:0","mhdr":"BHb2","name":"NODO-02"}},"dst":{"mode":"server","raddr":"172.16.4.11:0","lport":"6003 BHb2","name":"MASTERCARD BNET PT In 1"},"plugin": {"file":"slb_plugin_rm_mc.so","type":"RM","args": {"nodrop":"n"}}},</v>
      </c>
    </row>
    <row r="7" spans="1:18" ht="15" thickBot="1">
      <c r="A7" s="30"/>
      <c r="B7" s="2" t="s">
        <v>16</v>
      </c>
      <c r="C7" s="2"/>
      <c r="D7" s="8">
        <v>2</v>
      </c>
      <c r="E7" s="8"/>
      <c r="F7" s="8" t="s">
        <v>8</v>
      </c>
      <c r="G7" s="6" t="s">
        <v>49</v>
      </c>
      <c r="H7" s="6" t="s">
        <v>55</v>
      </c>
      <c r="I7" s="8"/>
      <c r="J7" s="6">
        <v>7003</v>
      </c>
      <c r="K7" s="33" t="s">
        <v>55</v>
      </c>
      <c r="L7" s="32" t="str">
        <f t="shared" ref="L7:L67" si="0">$B$3</f>
        <v>172.29.10.69</v>
      </c>
      <c r="M7" s="46">
        <v>30002</v>
      </c>
      <c r="N7" s="32" t="str">
        <f t="shared" ref="N7:N67" si="1">$B$4</f>
        <v>172.29.10.70</v>
      </c>
      <c r="O7" s="46">
        <f t="shared" ref="O7:O13" si="2">+M7+10000</f>
        <v>40002</v>
      </c>
      <c r="P7" s="33" t="s">
        <v>141</v>
      </c>
      <c r="Q7" s="34" t="s">
        <v>95</v>
      </c>
      <c r="R7" s="3" t="str">
        <f t="shared" ref="R7:R47" si="3">CONCATENATE(IF(A7&lt;&gt;"",CONCATENATE("""",A7,"""",":{","""","rules","""",":{"),""),"""",D7,""":{""type"":""con"",""dst_persist"":""n"",""src"":{""",M7,""":{""raddr"":""",L7,":0"",""mhdr"":""",K7,""",","""name""",":","""NODO-01","""},""",O7,""":{""raddr"":""",N7,":0"",""mhdr"":""",K7,""",","""name""",":","""NODO-02","""}},","""dst"":{""mode"":""",F7,""",""raddr"":""",IF(F7="server",G7,I7),":",IF(F7="server",0,J7),""",""",IF(F7="server","lport","mhdr"),""":""",IF(F7="server",J7,""),IF(F7="server"," ",""),K7,""",","""name""",":","""",B7,IF(P7&lt;&gt;"",CONCATENATE("""},","""plugin""",": {","""file""",":""",P7,""",","""type""",":","""","RM""",",","""args""",": {","""nodrop""",":","""n""","}")),Q7)</f>
        <v>"2":{"type":"con","dst_persist":"n","src":{"30002":{"raddr":"172.29.10.69:0","mhdr":"BHb2","name":"NODO-01"},"40002":{"raddr":"172.29.10.70:0","mhdr":"BHb2","name":"NODO-02"}},"dst":{"mode":"server","raddr":"172.16.4.11:0","lport":"7003 BHb2","name":"MASTERCARD BNET PT In 2"},"plugin": {"file":"slb_plugin_rm_mc.so","type":"RM","args": {"nodrop":"n"}}},</v>
      </c>
    </row>
    <row r="8" spans="1:18" ht="15" thickBot="1">
      <c r="A8" s="12"/>
      <c r="B8" s="2" t="s">
        <v>19</v>
      </c>
      <c r="C8" s="2"/>
      <c r="D8" s="6">
        <v>3</v>
      </c>
      <c r="E8" s="6"/>
      <c r="F8" s="6" t="s">
        <v>14</v>
      </c>
      <c r="G8" s="6"/>
      <c r="H8" s="6" t="s">
        <v>55</v>
      </c>
      <c r="I8" s="6" t="s">
        <v>1467</v>
      </c>
      <c r="J8" s="6">
        <v>6003</v>
      </c>
      <c r="K8" s="33" t="s">
        <v>55</v>
      </c>
      <c r="L8" s="32" t="str">
        <f t="shared" si="0"/>
        <v>172.29.10.69</v>
      </c>
      <c r="M8" s="46">
        <v>30005</v>
      </c>
      <c r="N8" s="32" t="str">
        <f t="shared" si="1"/>
        <v>172.29.10.70</v>
      </c>
      <c r="O8" s="46">
        <f t="shared" si="2"/>
        <v>40005</v>
      </c>
      <c r="P8" s="33" t="s">
        <v>141</v>
      </c>
      <c r="Q8" s="34" t="s">
        <v>95</v>
      </c>
      <c r="R8" s="3" t="str">
        <f t="shared" si="3"/>
        <v>"3":{"type":"con","dst_persist":"n","src":{"30005":{"raddr":"172.29.10.69:0","mhdr":"BHb2","name":"NODO-01"},"40005":{"raddr":"172.29.10.70:0","mhdr":"BHb2","name":"NODO-02"}},"dst":{"mode":"client","raddr":"10.122.138.55:6003","mhdr":"BHb2","name":"MASTERCARD BNET PT Out 1"},"plugin": {"file":"slb_plugin_rm_mc.so","type":"RM","args": {"nodrop":"n"}}},</v>
      </c>
    </row>
    <row r="9" spans="1:18" ht="15" thickBot="1">
      <c r="A9" s="12"/>
      <c r="B9" s="2" t="s">
        <v>21</v>
      </c>
      <c r="C9" s="2"/>
      <c r="D9" s="6">
        <v>4</v>
      </c>
      <c r="E9" s="6"/>
      <c r="F9" s="6" t="s">
        <v>14</v>
      </c>
      <c r="G9" s="6"/>
      <c r="H9" s="6" t="s">
        <v>55</v>
      </c>
      <c r="I9" s="6" t="s">
        <v>1468</v>
      </c>
      <c r="J9" s="6">
        <v>7003</v>
      </c>
      <c r="K9" s="33" t="s">
        <v>55</v>
      </c>
      <c r="L9" s="32" t="str">
        <f t="shared" si="0"/>
        <v>172.29.10.69</v>
      </c>
      <c r="M9" s="46">
        <v>30006</v>
      </c>
      <c r="N9" s="32" t="str">
        <f t="shared" si="1"/>
        <v>172.29.10.70</v>
      </c>
      <c r="O9" s="46">
        <f t="shared" si="2"/>
        <v>40006</v>
      </c>
      <c r="P9" s="33" t="s">
        <v>141</v>
      </c>
      <c r="Q9" s="34" t="s">
        <v>96</v>
      </c>
      <c r="R9" s="3" t="str">
        <f t="shared" si="3"/>
        <v>"4":{"type":"con","dst_persist":"n","src":{"30006":{"raddr":"172.29.10.69:0","mhdr":"BHb2","name":"NODO-01"},"40006":{"raddr":"172.29.10.70:0","mhdr":"BHb2","name":"NODO-02"}},"dst":{"mode":"client","raddr":"10.122.138.56:7003","mhdr":"BHb2","name":"MASTERCARD BNET PT Out 2"},"plugin": {"file":"slb_plugin_rm_mc.so","type":"RM","args": {"nodrop":"n"}}}}},</v>
      </c>
    </row>
    <row r="10" spans="1:18" ht="15" thickBot="1">
      <c r="A10" s="30">
        <v>2</v>
      </c>
      <c r="B10" s="2" t="s">
        <v>17</v>
      </c>
      <c r="C10" s="2"/>
      <c r="D10" s="8">
        <v>1</v>
      </c>
      <c r="E10" s="8"/>
      <c r="F10" s="8" t="s">
        <v>8</v>
      </c>
      <c r="G10" s="6" t="s">
        <v>53</v>
      </c>
      <c r="H10" s="6" t="s">
        <v>55</v>
      </c>
      <c r="I10" s="8"/>
      <c r="J10" s="6">
        <v>6004</v>
      </c>
      <c r="K10" s="33" t="s">
        <v>55</v>
      </c>
      <c r="L10" s="32" t="str">
        <f t="shared" si="0"/>
        <v>172.29.10.69</v>
      </c>
      <c r="M10" s="46">
        <v>30003</v>
      </c>
      <c r="N10" s="32" t="str">
        <f t="shared" si="1"/>
        <v>172.29.10.70</v>
      </c>
      <c r="O10" s="46">
        <f>+M10+10000</f>
        <v>40003</v>
      </c>
      <c r="P10" s="33" t="s">
        <v>141</v>
      </c>
      <c r="Q10" s="34" t="s">
        <v>95</v>
      </c>
      <c r="R10" s="3" t="str">
        <f t="shared" si="3"/>
        <v>"2":{"rules":{"1":{"type":"con","dst_persist":"n","src":{"30003":{"raddr":"172.29.10.69:0","mhdr":"BHb2","name":"NODO-01"},"40003":{"raddr":"172.29.10.70:0","mhdr":"BHb2","name":"NODO-02"}},"dst":{"mode":"server","raddr":"172.16.4.52:0","lport":"6004 BHb2","name":"MASTERCARD MDS PT In 1"},"plugin": {"file":"slb_plugin_rm_mc.so","type":"RM","args": {"nodrop":"n"}}},</v>
      </c>
    </row>
    <row r="11" spans="1:18" ht="15" thickBot="1">
      <c r="A11" s="30"/>
      <c r="B11" s="2" t="s">
        <v>18</v>
      </c>
      <c r="C11" s="2"/>
      <c r="D11" s="8">
        <v>2</v>
      </c>
      <c r="E11" s="8"/>
      <c r="F11" s="8" t="s">
        <v>8</v>
      </c>
      <c r="G11" s="6" t="s">
        <v>53</v>
      </c>
      <c r="H11" s="6" t="s">
        <v>55</v>
      </c>
      <c r="I11" s="8"/>
      <c r="J11" s="6">
        <v>7004</v>
      </c>
      <c r="K11" s="33" t="s">
        <v>55</v>
      </c>
      <c r="L11" s="32" t="str">
        <f t="shared" si="0"/>
        <v>172.29.10.69</v>
      </c>
      <c r="M11" s="46">
        <v>30004</v>
      </c>
      <c r="N11" s="32" t="str">
        <f t="shared" si="1"/>
        <v>172.29.10.70</v>
      </c>
      <c r="O11" s="46">
        <f>+M11+10000</f>
        <v>40004</v>
      </c>
      <c r="P11" s="33" t="s">
        <v>141</v>
      </c>
      <c r="Q11" s="34" t="s">
        <v>95</v>
      </c>
      <c r="R11" s="3" t="str">
        <f t="shared" si="3"/>
        <v>"2":{"type":"con","dst_persist":"n","src":{"30004":{"raddr":"172.29.10.69:0","mhdr":"BHb2","name":"NODO-01"},"40004":{"raddr":"172.29.10.70:0","mhdr":"BHb2","name":"NODO-02"}},"dst":{"mode":"server","raddr":"172.16.4.52:0","lport":"7004 BHb2","name":"MASTERCARD MDS PT In 2"},"plugin": {"file":"slb_plugin_rm_mc.so","type":"RM","args": {"nodrop":"n"}}},</v>
      </c>
    </row>
    <row r="12" spans="1:18" ht="15" thickBot="1">
      <c r="A12" s="12"/>
      <c r="B12" s="2" t="s">
        <v>20</v>
      </c>
      <c r="C12" s="2"/>
      <c r="D12" s="6">
        <v>3</v>
      </c>
      <c r="E12" s="6"/>
      <c r="F12" s="6" t="s">
        <v>14</v>
      </c>
      <c r="G12" s="6"/>
      <c r="H12" s="6" t="s">
        <v>55</v>
      </c>
      <c r="I12" s="6" t="s">
        <v>1467</v>
      </c>
      <c r="J12" s="6">
        <v>6004</v>
      </c>
      <c r="K12" s="33" t="s">
        <v>55</v>
      </c>
      <c r="L12" s="32" t="str">
        <f t="shared" si="0"/>
        <v>172.29.10.69</v>
      </c>
      <c r="M12" s="46">
        <v>30007</v>
      </c>
      <c r="N12" s="32" t="str">
        <f t="shared" si="1"/>
        <v>172.29.10.70</v>
      </c>
      <c r="O12" s="46">
        <f t="shared" si="2"/>
        <v>40007</v>
      </c>
      <c r="P12" s="33" t="s">
        <v>141</v>
      </c>
      <c r="Q12" s="34" t="s">
        <v>95</v>
      </c>
      <c r="R12" s="3" t="str">
        <f t="shared" si="3"/>
        <v>"3":{"type":"con","dst_persist":"n","src":{"30007":{"raddr":"172.29.10.69:0","mhdr":"BHb2","name":"NODO-01"},"40007":{"raddr":"172.29.10.70:0","mhdr":"BHb2","name":"NODO-02"}},"dst":{"mode":"client","raddr":"10.122.138.55:6004","mhdr":"BHb2","name":"MASTERCARD MDS PT Out 1"},"plugin": {"file":"slb_plugin_rm_mc.so","type":"RM","args": {"nodrop":"n"}}},</v>
      </c>
    </row>
    <row r="13" spans="1:18" ht="15" thickBot="1">
      <c r="A13" s="13"/>
      <c r="B13" s="14" t="s">
        <v>22</v>
      </c>
      <c r="C13" s="14"/>
      <c r="D13" s="15">
        <v>4</v>
      </c>
      <c r="E13" s="15"/>
      <c r="F13" s="15" t="s">
        <v>14</v>
      </c>
      <c r="G13" s="15"/>
      <c r="H13" s="15" t="s">
        <v>55</v>
      </c>
      <c r="I13" s="15" t="s">
        <v>1468</v>
      </c>
      <c r="J13" s="15">
        <v>7004</v>
      </c>
      <c r="K13" s="35" t="s">
        <v>55</v>
      </c>
      <c r="L13" s="32" t="str">
        <f t="shared" si="0"/>
        <v>172.29.10.69</v>
      </c>
      <c r="M13" s="50">
        <v>30008</v>
      </c>
      <c r="N13" s="32" t="str">
        <f t="shared" si="1"/>
        <v>172.29.10.70</v>
      </c>
      <c r="O13" s="50">
        <f t="shared" si="2"/>
        <v>40008</v>
      </c>
      <c r="P13" s="35" t="s">
        <v>141</v>
      </c>
      <c r="Q13" s="36" t="s">
        <v>96</v>
      </c>
      <c r="R13" s="3" t="str">
        <f t="shared" si="3"/>
        <v>"4":{"type":"con","dst_persist":"n","src":{"30008":{"raddr":"172.29.10.69:0","mhdr":"BHb2","name":"NODO-01"},"40008":{"raddr":"172.29.10.70:0","mhdr":"BHb2","name":"NODO-02"}},"dst":{"mode":"client","raddr":"10.122.138.56:7004","mhdr":"BHb2","name":"MASTERCARD MDS PT Out 2"},"plugin": {"file":"slb_plugin_rm_mc.so","type":"RM","args": {"nodrop":"n"}}}}},</v>
      </c>
    </row>
    <row r="14" spans="1:18" ht="15" thickBot="1">
      <c r="A14" s="47">
        <v>3</v>
      </c>
      <c r="B14" s="23" t="s">
        <v>40</v>
      </c>
      <c r="C14" s="23"/>
      <c r="D14" s="29">
        <v>1</v>
      </c>
      <c r="E14" s="29"/>
      <c r="F14" s="29" t="s">
        <v>8</v>
      </c>
      <c r="G14" s="29" t="s">
        <v>60</v>
      </c>
      <c r="H14" s="29" t="s">
        <v>437</v>
      </c>
      <c r="I14" s="29"/>
      <c r="J14" s="29">
        <v>7095</v>
      </c>
      <c r="K14" s="32" t="s">
        <v>437</v>
      </c>
      <c r="L14" s="32" t="str">
        <f t="shared" si="0"/>
        <v>172.29.10.69</v>
      </c>
      <c r="M14" s="48">
        <v>30150</v>
      </c>
      <c r="N14" s="32" t="str">
        <f t="shared" si="1"/>
        <v>172.29.10.70</v>
      </c>
      <c r="O14" s="48">
        <f>+M14+10000</f>
        <v>40150</v>
      </c>
      <c r="P14" s="32" t="s">
        <v>94</v>
      </c>
      <c r="Q14" s="49" t="s">
        <v>95</v>
      </c>
      <c r="R14" s="3" t="str">
        <f t="shared" si="3"/>
        <v>"3":{"rules":{"1":{"type":"con","dst_persist":"n","src":{"30150":{"raddr":"172.29.10.69:0","mhdr":"iBHb2","name":"NODO-01"},"40150":{"raddr":"172.29.10.70:0","mhdr":"iBHb2","name":"NODO-02"}},"dst":{"mode":"server","raddr":"10.1.3.36:0","lport":"7095 iBHb2","name":"RBM (B24-SV) ADQUIRIENTE PT In"},"plugin": {"file":"slb_plugin_rm_biciso.so","type":"RM","args": {"nodrop":"n"}}},</v>
      </c>
    </row>
    <row r="15" spans="1:18" ht="15" thickBot="1">
      <c r="A15" s="30"/>
      <c r="B15" s="7" t="s">
        <v>41</v>
      </c>
      <c r="C15" s="7"/>
      <c r="D15" s="8">
        <v>2</v>
      </c>
      <c r="E15" s="8"/>
      <c r="F15" s="8" t="s">
        <v>14</v>
      </c>
      <c r="G15" s="8"/>
      <c r="H15" s="8" t="s">
        <v>437</v>
      </c>
      <c r="I15" s="8" t="s">
        <v>60</v>
      </c>
      <c r="J15" s="8">
        <v>3011</v>
      </c>
      <c r="K15" s="33" t="s">
        <v>437</v>
      </c>
      <c r="L15" s="32" t="str">
        <f t="shared" si="0"/>
        <v>172.29.10.69</v>
      </c>
      <c r="M15" s="46">
        <v>30160</v>
      </c>
      <c r="N15" s="32" t="str">
        <f t="shared" si="1"/>
        <v>172.29.10.70</v>
      </c>
      <c r="O15" s="46">
        <f>+M15+10000</f>
        <v>40160</v>
      </c>
      <c r="P15" s="33" t="s">
        <v>94</v>
      </c>
      <c r="Q15" s="34" t="s">
        <v>95</v>
      </c>
      <c r="R15" s="3" t="str">
        <f t="shared" si="3"/>
        <v>"2":{"type":"con","dst_persist":"n","src":{"30160":{"raddr":"172.29.10.69:0","mhdr":"iBHb2","name":"NODO-01"},"40160":{"raddr":"172.29.10.70:0","mhdr":"iBHb2","name":"NODO-02"}},"dst":{"mode":"client","raddr":"10.1.3.36:3011","mhdr":"iBHb2","name":"RBM (B24-SV) ADQUIRIENTE PT Out"},"plugin": {"file":"slb_plugin_rm_biciso.so","type":"RM","args": {"nodrop":"n"}}},</v>
      </c>
    </row>
    <row r="16" spans="1:18" ht="15" thickBot="1">
      <c r="A16" s="30"/>
      <c r="B16" s="7" t="s">
        <v>44</v>
      </c>
      <c r="C16" s="7"/>
      <c r="D16" s="8">
        <v>3</v>
      </c>
      <c r="E16" s="8"/>
      <c r="F16" s="8" t="s">
        <v>14</v>
      </c>
      <c r="G16" s="8"/>
      <c r="H16" s="8" t="s">
        <v>437</v>
      </c>
      <c r="I16" s="8" t="s">
        <v>1469</v>
      </c>
      <c r="J16" s="8">
        <v>7095</v>
      </c>
      <c r="K16" s="33" t="s">
        <v>437</v>
      </c>
      <c r="L16" s="32" t="str">
        <f t="shared" si="0"/>
        <v>172.29.10.69</v>
      </c>
      <c r="M16" s="46">
        <v>30190</v>
      </c>
      <c r="N16" s="32" t="str">
        <f t="shared" si="1"/>
        <v>172.29.10.70</v>
      </c>
      <c r="O16" s="46">
        <f>+M16+10000</f>
        <v>40190</v>
      </c>
      <c r="P16" s="33" t="s">
        <v>94</v>
      </c>
      <c r="Q16" s="34" t="s">
        <v>95</v>
      </c>
      <c r="R16" s="3" t="str">
        <f t="shared" si="3"/>
        <v>"3":{"type":"con","dst_persist":"n","src":{"30190":{"raddr":"172.29.10.69:0","mhdr":"iBHb2","name":"NODO-01"},"40190":{"raddr":"172.29.10.70:0","mhdr":"iBHb2","name":"NODO-02"}},"dst":{"mode":"client","raddr":"172.17.95.3:7095","mhdr":"iBHb2","name":"RBM (SV-RBM) ADQUIRIENTE PT Out"},"plugin": {"file":"slb_plugin_rm_biciso.so","type":"RM","args": {"nodrop":"n"}}},</v>
      </c>
    </row>
    <row r="17" spans="1:18" ht="15" thickBot="1">
      <c r="A17" s="30"/>
      <c r="B17" s="7" t="s">
        <v>45</v>
      </c>
      <c r="C17" s="7"/>
      <c r="D17" s="8">
        <v>4</v>
      </c>
      <c r="E17" s="8"/>
      <c r="F17" s="8" t="s">
        <v>8</v>
      </c>
      <c r="G17" s="8" t="s">
        <v>1470</v>
      </c>
      <c r="H17" s="8" t="s">
        <v>437</v>
      </c>
      <c r="I17" s="8"/>
      <c r="J17" s="8">
        <v>3011</v>
      </c>
      <c r="K17" s="33" t="s">
        <v>437</v>
      </c>
      <c r="L17" s="32" t="str">
        <f t="shared" si="0"/>
        <v>172.29.10.69</v>
      </c>
      <c r="M17" s="46">
        <v>30200</v>
      </c>
      <c r="N17" s="32" t="str">
        <f t="shared" si="1"/>
        <v>172.29.10.70</v>
      </c>
      <c r="O17" s="46">
        <f>+M17+10000</f>
        <v>40200</v>
      </c>
      <c r="P17" s="33" t="s">
        <v>94</v>
      </c>
      <c r="Q17" s="34" t="s">
        <v>96</v>
      </c>
      <c r="R17" s="3" t="str">
        <f t="shared" si="3"/>
        <v>"4":{"type":"con","dst_persist":"n","src":{"30200":{"raddr":"172.29.10.69:0","mhdr":"iBHb2","name":"NODO-01"},"40200":{"raddr":"172.29.10.70:0","mhdr":"iBHb2","name":"NODO-02"}},"dst":{"mode":"server","raddr":"172.17.95.2:0","lport":"3011 iBHb2","name":"RBM (SV-RBM) ADQUIRIENTE PT In"},"plugin": {"file":"slb_plugin_rm_biciso.so","type":"RM","args": {"nodrop":"n"}}}}},</v>
      </c>
    </row>
    <row r="18" spans="1:18" ht="15" thickBot="1">
      <c r="A18" s="30">
        <v>4</v>
      </c>
      <c r="B18" s="7" t="s">
        <v>38</v>
      </c>
      <c r="C18" s="7"/>
      <c r="D18" s="8">
        <v>1</v>
      </c>
      <c r="E18" s="8"/>
      <c r="F18" s="8" t="s">
        <v>8</v>
      </c>
      <c r="G18" s="8" t="s">
        <v>63</v>
      </c>
      <c r="H18" s="8" t="s">
        <v>437</v>
      </c>
      <c r="I18" s="8"/>
      <c r="J18" s="8">
        <v>7096</v>
      </c>
      <c r="K18" s="33" t="s">
        <v>437</v>
      </c>
      <c r="L18" s="32" t="str">
        <f t="shared" si="0"/>
        <v>172.29.10.69</v>
      </c>
      <c r="M18" s="46">
        <v>30130</v>
      </c>
      <c r="N18" s="32" t="str">
        <f t="shared" si="1"/>
        <v>172.29.10.70</v>
      </c>
      <c r="O18" s="46">
        <f t="shared" ref="O18:O37" si="4">+M18+10000</f>
        <v>40130</v>
      </c>
      <c r="P18" s="33" t="s">
        <v>94</v>
      </c>
      <c r="Q18" s="34" t="s">
        <v>95</v>
      </c>
      <c r="R18" s="3" t="str">
        <f t="shared" si="3"/>
        <v>"4":{"rules":{"1":{"type":"con","dst_persist":"n","src":{"30130":{"raddr":"172.29.10.69:0","mhdr":"iBHb2","name":"NODO-01"},"40130":{"raddr":"172.29.10.70:0","mhdr":"iBHb2","name":"NODO-02"}},"dst":{"mode":"server","raddr":"10.1.3.34:0","lport":"7096 iBHb2","name":"RBM (B24-SV) EMISOR PT In"},"plugin": {"file":"slb_plugin_rm_biciso.so","type":"RM","args": {"nodrop":"n"}}},</v>
      </c>
    </row>
    <row r="19" spans="1:18" ht="15" thickBot="1">
      <c r="A19" s="30"/>
      <c r="B19" s="7" t="s">
        <v>39</v>
      </c>
      <c r="C19" s="7"/>
      <c r="D19" s="8">
        <v>2</v>
      </c>
      <c r="E19" s="8"/>
      <c r="F19" s="8" t="s">
        <v>14</v>
      </c>
      <c r="G19" s="8"/>
      <c r="H19" s="8" t="s">
        <v>437</v>
      </c>
      <c r="I19" s="8" t="s">
        <v>63</v>
      </c>
      <c r="J19" s="8">
        <v>4011</v>
      </c>
      <c r="K19" s="33" t="s">
        <v>437</v>
      </c>
      <c r="L19" s="32" t="str">
        <f t="shared" si="0"/>
        <v>172.29.10.69</v>
      </c>
      <c r="M19" s="46">
        <v>30140</v>
      </c>
      <c r="N19" s="32" t="str">
        <f t="shared" si="1"/>
        <v>172.29.10.70</v>
      </c>
      <c r="O19" s="46">
        <f t="shared" si="4"/>
        <v>40140</v>
      </c>
      <c r="P19" s="33" t="s">
        <v>94</v>
      </c>
      <c r="Q19" s="34" t="s">
        <v>95</v>
      </c>
      <c r="R19" s="3" t="str">
        <f t="shared" si="3"/>
        <v>"2":{"type":"con","dst_persist":"n","src":{"30140":{"raddr":"172.29.10.69:0","mhdr":"iBHb2","name":"NODO-01"},"40140":{"raddr":"172.29.10.70:0","mhdr":"iBHb2","name":"NODO-02"}},"dst":{"mode":"client","raddr":"10.1.3.34:4011","mhdr":"iBHb2","name":"RBM (B24-SV) EMISOR PT Out"},"plugin": {"file":"slb_plugin_rm_biciso.so","type":"RM","args": {"nodrop":"n"}}},</v>
      </c>
    </row>
    <row r="20" spans="1:18" ht="15" thickBot="1">
      <c r="A20" s="30"/>
      <c r="B20" s="7" t="s">
        <v>42</v>
      </c>
      <c r="C20" s="7"/>
      <c r="D20" s="8">
        <v>3</v>
      </c>
      <c r="E20" s="8"/>
      <c r="F20" s="8" t="s">
        <v>14</v>
      </c>
      <c r="G20" s="8"/>
      <c r="H20" s="8" t="s">
        <v>437</v>
      </c>
      <c r="I20" s="8" t="s">
        <v>1469</v>
      </c>
      <c r="J20" s="8">
        <v>7096</v>
      </c>
      <c r="K20" s="33" t="s">
        <v>437</v>
      </c>
      <c r="L20" s="32" t="str">
        <f t="shared" si="0"/>
        <v>172.29.10.69</v>
      </c>
      <c r="M20" s="46">
        <v>30170</v>
      </c>
      <c r="N20" s="32" t="str">
        <f t="shared" si="1"/>
        <v>172.29.10.70</v>
      </c>
      <c r="O20" s="46">
        <f t="shared" si="4"/>
        <v>40170</v>
      </c>
      <c r="P20" s="33" t="s">
        <v>94</v>
      </c>
      <c r="Q20" s="34" t="s">
        <v>95</v>
      </c>
      <c r="R20" s="3" t="str">
        <f t="shared" si="3"/>
        <v>"3":{"type":"con","dst_persist":"n","src":{"30170":{"raddr":"172.29.10.69:0","mhdr":"iBHb2","name":"NODO-01"},"40170":{"raddr":"172.29.10.70:0","mhdr":"iBHb2","name":"NODO-02"}},"dst":{"mode":"client","raddr":"172.17.95.3:7096","mhdr":"iBHb2","name":"RBM (SV-RBM) EMISOR PT Out"},"plugin": {"file":"slb_plugin_rm_biciso.so","type":"RM","args": {"nodrop":"n"}}},</v>
      </c>
    </row>
    <row r="21" spans="1:18" ht="15" thickBot="1">
      <c r="A21" s="40"/>
      <c r="B21" s="16" t="s">
        <v>43</v>
      </c>
      <c r="C21" s="16"/>
      <c r="D21" s="17">
        <v>4</v>
      </c>
      <c r="E21" s="17"/>
      <c r="F21" s="17" t="s">
        <v>8</v>
      </c>
      <c r="G21" s="17" t="s">
        <v>1470</v>
      </c>
      <c r="H21" s="17" t="s">
        <v>437</v>
      </c>
      <c r="I21" s="17"/>
      <c r="J21" s="17">
        <v>4011</v>
      </c>
      <c r="K21" s="35" t="s">
        <v>437</v>
      </c>
      <c r="L21" s="32" t="str">
        <f t="shared" si="0"/>
        <v>172.29.10.69</v>
      </c>
      <c r="M21" s="50">
        <v>30180</v>
      </c>
      <c r="N21" s="32" t="str">
        <f t="shared" si="1"/>
        <v>172.29.10.70</v>
      </c>
      <c r="O21" s="50">
        <f t="shared" si="4"/>
        <v>40180</v>
      </c>
      <c r="P21" s="35" t="s">
        <v>94</v>
      </c>
      <c r="Q21" s="36" t="s">
        <v>96</v>
      </c>
      <c r="R21" s="3" t="str">
        <f t="shared" si="3"/>
        <v>"4":{"type":"con","dst_persist":"n","src":{"30180":{"raddr":"172.29.10.69:0","mhdr":"iBHb2","name":"NODO-01"},"40180":{"raddr":"172.29.10.70:0","mhdr":"iBHb2","name":"NODO-02"}},"dst":{"mode":"server","raddr":"172.17.95.2:0","lport":"4011 iBHb2","name":"RBM (SV-RBM) EMISOR PT In"},"plugin": {"file":"slb_plugin_rm_biciso.so","type":"RM","args": {"nodrop":"n"}}}}},</v>
      </c>
    </row>
    <row r="22" spans="1:18" ht="15" thickBot="1">
      <c r="A22" s="9">
        <v>5</v>
      </c>
      <c r="B22" s="10" t="s">
        <v>133</v>
      </c>
      <c r="C22" s="10"/>
      <c r="D22" s="11">
        <v>1</v>
      </c>
      <c r="E22" s="11"/>
      <c r="F22" s="11" t="s">
        <v>8</v>
      </c>
      <c r="G22" s="11" t="s">
        <v>229</v>
      </c>
      <c r="H22" s="11" t="s">
        <v>437</v>
      </c>
      <c r="I22" s="11"/>
      <c r="J22" s="11">
        <v>35903</v>
      </c>
      <c r="K22" s="32" t="s">
        <v>437</v>
      </c>
      <c r="L22" s="32" t="str">
        <f t="shared" si="0"/>
        <v>172.29.10.69</v>
      </c>
      <c r="M22" s="32">
        <v>30010</v>
      </c>
      <c r="N22" s="32" t="str">
        <f t="shared" si="1"/>
        <v>172.29.10.70</v>
      </c>
      <c r="O22" s="32">
        <f t="shared" si="4"/>
        <v>40010</v>
      </c>
      <c r="P22" s="32" t="s">
        <v>136</v>
      </c>
      <c r="Q22" s="49" t="s">
        <v>95</v>
      </c>
      <c r="R22" s="3" t="str">
        <f t="shared" si="3"/>
        <v>"5":{"rules":{"1":{"type":"con","dst_persist":"n","src":{"30010":{"raddr":"172.29.10.69:0","mhdr":"iBHb2","name":"NODO-01"},"40010":{"raddr":"172.29.10.70:0","mhdr":"iBHb2","name":"NODO-02"}},"dst":{"mode":"server","raddr":"172.16.4.10:0","lport":"35903 iBHb2","name":"AMEX COLPATRIA PT In 1"},"plugin": {"file":"slb_plugin_rm_amex.so","type":"RM","args": {"nodrop":"n"}}},</v>
      </c>
    </row>
    <row r="23" spans="1:18" ht="15" thickBot="1">
      <c r="A23" s="12"/>
      <c r="B23" s="2" t="s">
        <v>134</v>
      </c>
      <c r="C23" s="2"/>
      <c r="D23" s="6">
        <v>2</v>
      </c>
      <c r="E23" s="6"/>
      <c r="F23" s="6" t="s">
        <v>8</v>
      </c>
      <c r="G23" s="6" t="s">
        <v>229</v>
      </c>
      <c r="H23" s="6" t="s">
        <v>437</v>
      </c>
      <c r="I23" s="6"/>
      <c r="J23" s="6">
        <v>35904</v>
      </c>
      <c r="K23" s="33" t="s">
        <v>437</v>
      </c>
      <c r="L23" s="32" t="str">
        <f t="shared" si="0"/>
        <v>172.29.10.69</v>
      </c>
      <c r="M23" s="33">
        <v>30020</v>
      </c>
      <c r="N23" s="32" t="str">
        <f t="shared" si="1"/>
        <v>172.29.10.70</v>
      </c>
      <c r="O23" s="33">
        <f t="shared" si="4"/>
        <v>40020</v>
      </c>
      <c r="P23" s="33" t="s">
        <v>136</v>
      </c>
      <c r="Q23" s="34" t="s">
        <v>95</v>
      </c>
      <c r="R23" s="3" t="str">
        <f t="shared" si="3"/>
        <v>"2":{"type":"con","dst_persist":"n","src":{"30020":{"raddr":"172.29.10.69:0","mhdr":"iBHb2","name":"NODO-01"},"40020":{"raddr":"172.29.10.70:0","mhdr":"iBHb2","name":"NODO-02"}},"dst":{"mode":"server","raddr":"172.16.4.10:0","lport":"35904 iBHb2","name":"AMEX COLPATRIA PT In 2"},"plugin": {"file":"slb_plugin_rm_amex.so","type":"RM","args": {"nodrop":"n"}}},</v>
      </c>
    </row>
    <row r="24" spans="1:18" ht="15" thickBot="1">
      <c r="A24" s="12"/>
      <c r="B24" s="2" t="s">
        <v>32</v>
      </c>
      <c r="C24" s="2"/>
      <c r="D24" s="6">
        <v>3</v>
      </c>
      <c r="E24" s="6"/>
      <c r="F24" s="6" t="s">
        <v>14</v>
      </c>
      <c r="G24" s="6"/>
      <c r="H24" s="6" t="s">
        <v>437</v>
      </c>
      <c r="I24" s="6" t="s">
        <v>1471</v>
      </c>
      <c r="J24" s="6">
        <v>35903</v>
      </c>
      <c r="K24" s="33" t="s">
        <v>437</v>
      </c>
      <c r="L24" s="32" t="str">
        <f t="shared" si="0"/>
        <v>172.29.10.69</v>
      </c>
      <c r="M24" s="33">
        <v>30070</v>
      </c>
      <c r="N24" s="32" t="str">
        <f t="shared" si="1"/>
        <v>172.29.10.70</v>
      </c>
      <c r="O24" s="33">
        <f t="shared" si="4"/>
        <v>40070</v>
      </c>
      <c r="P24" s="33" t="s">
        <v>136</v>
      </c>
      <c r="Q24" s="34" t="s">
        <v>95</v>
      </c>
      <c r="R24" s="3" t="str">
        <f t="shared" si="3"/>
        <v>"3":{"type":"con","dst_persist":"n","src":{"30070":{"raddr":"172.29.10.69:0","mhdr":"iBHb2","name":"NODO-01"},"40070":{"raddr":"172.29.10.70:0","mhdr":"iBHb2","name":"NODO-02"}},"dst":{"mode":"client","raddr":"172.19.209.56:35903","mhdr":"iBHb2","name":"AMEX COLPATRIA PT Out 1"},"plugin": {"file":"slb_plugin_rm_amex.so","type":"RM","args": {"nodrop":"n"}}},</v>
      </c>
    </row>
    <row r="25" spans="1:18" ht="15" thickBot="1">
      <c r="A25" s="13"/>
      <c r="B25" s="14" t="s">
        <v>33</v>
      </c>
      <c r="C25" s="14"/>
      <c r="D25" s="15">
        <v>4</v>
      </c>
      <c r="E25" s="15"/>
      <c r="F25" s="15" t="s">
        <v>14</v>
      </c>
      <c r="G25" s="15"/>
      <c r="H25" s="15" t="s">
        <v>437</v>
      </c>
      <c r="I25" s="15" t="s">
        <v>1471</v>
      </c>
      <c r="J25" s="15">
        <v>35904</v>
      </c>
      <c r="K25" s="35" t="s">
        <v>437</v>
      </c>
      <c r="L25" s="32" t="str">
        <f t="shared" si="0"/>
        <v>172.29.10.69</v>
      </c>
      <c r="M25" s="35">
        <v>30080</v>
      </c>
      <c r="N25" s="32" t="str">
        <f t="shared" si="1"/>
        <v>172.29.10.70</v>
      </c>
      <c r="O25" s="35">
        <f t="shared" si="4"/>
        <v>40080</v>
      </c>
      <c r="P25" s="35" t="s">
        <v>136</v>
      </c>
      <c r="Q25" s="36" t="s">
        <v>96</v>
      </c>
      <c r="R25" s="3" t="str">
        <f t="shared" si="3"/>
        <v>"4":{"type":"con","dst_persist":"n","src":{"30080":{"raddr":"172.29.10.69:0","mhdr":"iBHb2","name":"NODO-01"},"40080":{"raddr":"172.29.10.70:0","mhdr":"iBHb2","name":"NODO-02"}},"dst":{"mode":"client","raddr":"172.19.209.56:35904","mhdr":"iBHb2","name":"AMEX COLPATRIA PT Out 2"},"plugin": {"file":"slb_plugin_rm_amex.so","type":"RM","args": {"nodrop":"n"}}}}},</v>
      </c>
    </row>
    <row r="26" spans="1:18" ht="15" thickBot="1">
      <c r="A26" s="47">
        <v>6</v>
      </c>
      <c r="B26" s="23" t="s">
        <v>28</v>
      </c>
      <c r="C26" s="23"/>
      <c r="D26" s="11">
        <v>1</v>
      </c>
      <c r="E26" s="11"/>
      <c r="F26" s="11" t="s">
        <v>8</v>
      </c>
      <c r="G26" s="11" t="s">
        <v>229</v>
      </c>
      <c r="H26" s="11" t="s">
        <v>437</v>
      </c>
      <c r="I26" s="11"/>
      <c r="J26" s="11">
        <v>35168</v>
      </c>
      <c r="K26" s="32" t="s">
        <v>437</v>
      </c>
      <c r="L26" s="32" t="str">
        <f t="shared" si="0"/>
        <v>172.29.10.69</v>
      </c>
      <c r="M26" s="32">
        <v>30030</v>
      </c>
      <c r="N26" s="32" t="str">
        <f t="shared" si="1"/>
        <v>172.29.10.70</v>
      </c>
      <c r="O26" s="32">
        <f t="shared" si="4"/>
        <v>40030</v>
      </c>
      <c r="P26" s="32" t="s">
        <v>136</v>
      </c>
      <c r="Q26" s="49" t="s">
        <v>95</v>
      </c>
      <c r="R26" s="3" t="str">
        <f t="shared" si="3"/>
        <v>"6":{"rules":{"1":{"type":"con","dst_persist":"n","src":{"30030":{"raddr":"172.29.10.69:0","mhdr":"iBHb2","name":"NODO-01"},"40030":{"raddr":"172.29.10.70:0","mhdr":"iBHb2","name":"NODO-02"}},"dst":{"mode":"server","raddr":"172.16.4.10:0","lport":"35168 iBHb2","name":"AMEX BANCOLOMBIA EMISOR PT In 1"},"plugin": {"file":"slb_plugin_rm_amex.so","type":"RM","args": {"nodrop":"n"}}},</v>
      </c>
    </row>
    <row r="27" spans="1:18" ht="15" thickBot="1">
      <c r="A27" s="30"/>
      <c r="B27" s="7" t="s">
        <v>29</v>
      </c>
      <c r="C27" s="7"/>
      <c r="D27" s="6">
        <v>2</v>
      </c>
      <c r="E27" s="6"/>
      <c r="F27" s="6" t="s">
        <v>8</v>
      </c>
      <c r="G27" s="6" t="s">
        <v>229</v>
      </c>
      <c r="H27" s="6" t="s">
        <v>437</v>
      </c>
      <c r="I27" s="6"/>
      <c r="J27" s="6">
        <v>35169</v>
      </c>
      <c r="K27" s="33" t="s">
        <v>437</v>
      </c>
      <c r="L27" s="32" t="str">
        <f t="shared" si="0"/>
        <v>172.29.10.69</v>
      </c>
      <c r="M27" s="33">
        <v>30040</v>
      </c>
      <c r="N27" s="32" t="str">
        <f t="shared" si="1"/>
        <v>172.29.10.70</v>
      </c>
      <c r="O27" s="33">
        <f t="shared" si="4"/>
        <v>40040</v>
      </c>
      <c r="P27" s="33" t="s">
        <v>136</v>
      </c>
      <c r="Q27" s="34" t="s">
        <v>95</v>
      </c>
      <c r="R27" s="3" t="str">
        <f t="shared" si="3"/>
        <v>"2":{"type":"con","dst_persist":"n","src":{"30040":{"raddr":"172.29.10.69:0","mhdr":"iBHb2","name":"NODO-01"},"40040":{"raddr":"172.29.10.70:0","mhdr":"iBHb2","name":"NODO-02"}},"dst":{"mode":"server","raddr":"172.16.4.10:0","lport":"35169 iBHb2","name":"AMEX BANCOLOMBIA EMISOR PT In 2"},"plugin": {"file":"slb_plugin_rm_amex.so","type":"RM","args": {"nodrop":"n"}}},</v>
      </c>
    </row>
    <row r="28" spans="1:18" ht="15" thickBot="1">
      <c r="A28" s="30"/>
      <c r="B28" s="7" t="s">
        <v>34</v>
      </c>
      <c r="C28" s="7"/>
      <c r="D28" s="8">
        <v>3</v>
      </c>
      <c r="E28" s="8"/>
      <c r="F28" s="8" t="s">
        <v>14</v>
      </c>
      <c r="G28" s="8"/>
      <c r="H28" s="8" t="s">
        <v>437</v>
      </c>
      <c r="I28" s="8" t="s">
        <v>1471</v>
      </c>
      <c r="J28" s="6">
        <v>35168</v>
      </c>
      <c r="K28" s="33" t="s">
        <v>437</v>
      </c>
      <c r="L28" s="32" t="str">
        <f t="shared" si="0"/>
        <v>172.29.10.69</v>
      </c>
      <c r="M28" s="33">
        <v>30090</v>
      </c>
      <c r="N28" s="32" t="str">
        <f t="shared" si="1"/>
        <v>172.29.10.70</v>
      </c>
      <c r="O28" s="33">
        <f t="shared" si="4"/>
        <v>40090</v>
      </c>
      <c r="P28" s="33" t="s">
        <v>136</v>
      </c>
      <c r="Q28" s="34" t="s">
        <v>95</v>
      </c>
      <c r="R28" s="3" t="str">
        <f t="shared" si="3"/>
        <v>"3":{"type":"con","dst_persist":"n","src":{"30090":{"raddr":"172.29.10.69:0","mhdr":"iBHb2","name":"NODO-01"},"40090":{"raddr":"172.29.10.70:0","mhdr":"iBHb2","name":"NODO-02"}},"dst":{"mode":"client","raddr":"172.19.209.56:35168","mhdr":"iBHb2","name":"AMEX BANCOLOMBIA EMISOR PT Out 1"},"plugin": {"file":"slb_plugin_rm_amex.so","type":"RM","args": {"nodrop":"n"}}},</v>
      </c>
    </row>
    <row r="29" spans="1:18" ht="15" thickBot="1">
      <c r="A29" s="30"/>
      <c r="B29" s="7" t="s">
        <v>35</v>
      </c>
      <c r="C29" s="7"/>
      <c r="D29" s="8">
        <v>4</v>
      </c>
      <c r="E29" s="8"/>
      <c r="F29" s="8" t="s">
        <v>14</v>
      </c>
      <c r="G29" s="8"/>
      <c r="H29" s="8" t="s">
        <v>437</v>
      </c>
      <c r="I29" s="8" t="s">
        <v>1471</v>
      </c>
      <c r="J29" s="6">
        <v>35169</v>
      </c>
      <c r="K29" s="33" t="s">
        <v>437</v>
      </c>
      <c r="L29" s="32" t="str">
        <f t="shared" si="0"/>
        <v>172.29.10.69</v>
      </c>
      <c r="M29" s="33">
        <v>30100</v>
      </c>
      <c r="N29" s="32" t="str">
        <f t="shared" si="1"/>
        <v>172.29.10.70</v>
      </c>
      <c r="O29" s="33">
        <f t="shared" si="4"/>
        <v>40100</v>
      </c>
      <c r="P29" s="33" t="s">
        <v>136</v>
      </c>
      <c r="Q29" s="34" t="s">
        <v>96</v>
      </c>
      <c r="R29" s="3" t="str">
        <f t="shared" si="3"/>
        <v>"4":{"type":"con","dst_persist":"n","src":{"30100":{"raddr":"172.29.10.69:0","mhdr":"iBHb2","name":"NODO-01"},"40100":{"raddr":"172.29.10.70:0","mhdr":"iBHb2","name":"NODO-02"}},"dst":{"mode":"client","raddr":"172.19.209.56:35169","mhdr":"iBHb2","name":"AMEX BANCOLOMBIA EMISOR PT Out 2"},"plugin": {"file":"slb_plugin_rm_amex.so","type":"RM","args": {"nodrop":"n"}}}}},</v>
      </c>
    </row>
    <row r="30" spans="1:18" ht="15" thickBot="1">
      <c r="A30" s="30">
        <v>7</v>
      </c>
      <c r="B30" s="7" t="s">
        <v>30</v>
      </c>
      <c r="C30" s="7"/>
      <c r="D30" s="8">
        <v>1</v>
      </c>
      <c r="E30" s="8"/>
      <c r="F30" s="8" t="s">
        <v>8</v>
      </c>
      <c r="G30" s="6" t="s">
        <v>229</v>
      </c>
      <c r="H30" s="6" t="s">
        <v>437</v>
      </c>
      <c r="I30" s="8"/>
      <c r="J30" s="8">
        <v>30094</v>
      </c>
      <c r="K30" s="33" t="s">
        <v>437</v>
      </c>
      <c r="L30" s="32" t="str">
        <f t="shared" si="0"/>
        <v>172.29.10.69</v>
      </c>
      <c r="M30" s="33">
        <v>30050</v>
      </c>
      <c r="N30" s="32" t="str">
        <f t="shared" si="1"/>
        <v>172.29.10.70</v>
      </c>
      <c r="O30" s="33">
        <f>+M30+10000</f>
        <v>40050</v>
      </c>
      <c r="P30" s="33" t="s">
        <v>136</v>
      </c>
      <c r="Q30" s="34" t="s">
        <v>95</v>
      </c>
      <c r="R30" s="3" t="str">
        <f t="shared" si="3"/>
        <v>"7":{"rules":{"1":{"type":"con","dst_persist":"n","src":{"30050":{"raddr":"172.29.10.69:0","mhdr":"iBHb2","name":"NODO-01"},"40050":{"raddr":"172.29.10.70:0","mhdr":"iBHb2","name":"NODO-02"}},"dst":{"mode":"server","raddr":"172.16.4.10:0","lport":"30094 iBHb2","name":"AMEX BANCOLOMBIA ADQUIRIENTE PT In 1"},"plugin": {"file":"slb_plugin_rm_amex.so","type":"RM","args": {"nodrop":"n"}}},</v>
      </c>
    </row>
    <row r="31" spans="1:18" ht="15" thickBot="1">
      <c r="A31" s="30"/>
      <c r="B31" s="7" t="s">
        <v>31</v>
      </c>
      <c r="C31" s="7"/>
      <c r="D31" s="8">
        <v>2</v>
      </c>
      <c r="E31" s="8"/>
      <c r="F31" s="8" t="s">
        <v>8</v>
      </c>
      <c r="G31" s="6" t="s">
        <v>229</v>
      </c>
      <c r="H31" s="6" t="s">
        <v>437</v>
      </c>
      <c r="I31" s="8"/>
      <c r="J31" s="8">
        <v>30095</v>
      </c>
      <c r="K31" s="33" t="s">
        <v>437</v>
      </c>
      <c r="L31" s="32" t="str">
        <f t="shared" si="0"/>
        <v>172.29.10.69</v>
      </c>
      <c r="M31" s="33">
        <v>30060</v>
      </c>
      <c r="N31" s="32" t="str">
        <f t="shared" si="1"/>
        <v>172.29.10.70</v>
      </c>
      <c r="O31" s="33">
        <f>+M31+10000</f>
        <v>40060</v>
      </c>
      <c r="P31" s="33" t="s">
        <v>136</v>
      </c>
      <c r="Q31" s="34" t="s">
        <v>95</v>
      </c>
      <c r="R31" s="3" t="str">
        <f t="shared" si="3"/>
        <v>"2":{"type":"con","dst_persist":"n","src":{"30060":{"raddr":"172.29.10.69:0","mhdr":"iBHb2","name":"NODO-01"},"40060":{"raddr":"172.29.10.70:0","mhdr":"iBHb2","name":"NODO-02"}},"dst":{"mode":"server","raddr":"172.16.4.10:0","lport":"30095 iBHb2","name":"AMEX BANCOLOMBIA ADQUIRIENTE PT In 2"},"plugin": {"file":"slb_plugin_rm_amex.so","type":"RM","args": {"nodrop":"n"}}},</v>
      </c>
    </row>
    <row r="32" spans="1:18" ht="15" thickBot="1">
      <c r="A32" s="30"/>
      <c r="B32" s="7" t="s">
        <v>36</v>
      </c>
      <c r="C32" s="7"/>
      <c r="D32" s="8">
        <v>3</v>
      </c>
      <c r="E32" s="8"/>
      <c r="F32" s="8" t="s">
        <v>14</v>
      </c>
      <c r="G32" s="8"/>
      <c r="H32" s="8" t="s">
        <v>437</v>
      </c>
      <c r="I32" s="8" t="s">
        <v>1472</v>
      </c>
      <c r="J32" s="8">
        <v>30094</v>
      </c>
      <c r="K32" s="33" t="s">
        <v>437</v>
      </c>
      <c r="L32" s="32" t="str">
        <f t="shared" si="0"/>
        <v>172.29.10.69</v>
      </c>
      <c r="M32" s="33">
        <v>30110</v>
      </c>
      <c r="N32" s="32" t="str">
        <f t="shared" si="1"/>
        <v>172.29.10.70</v>
      </c>
      <c r="O32" s="33">
        <f t="shared" si="4"/>
        <v>40110</v>
      </c>
      <c r="P32" s="33" t="s">
        <v>136</v>
      </c>
      <c r="Q32" s="34" t="s">
        <v>95</v>
      </c>
      <c r="R32" s="3" t="str">
        <f t="shared" si="3"/>
        <v>"3":{"type":"con","dst_persist":"n","src":{"30110":{"raddr":"172.29.10.69:0","mhdr":"iBHb2","name":"NODO-01"},"40110":{"raddr":"172.29.10.70:0","mhdr":"iBHb2","name":"NODO-02"}},"dst":{"mode":"client","raddr":"172.19.209.53:30094","mhdr":"iBHb2","name":"AMEX BANCOLOMBIA ADQUIRIENTE PT Out 1"},"plugin": {"file":"slb_plugin_rm_amex.so","type":"RM","args": {"nodrop":"n"}}},</v>
      </c>
    </row>
    <row r="33" spans="1:18" ht="15" thickBot="1">
      <c r="A33" s="40"/>
      <c r="B33" s="16" t="s">
        <v>37</v>
      </c>
      <c r="C33" s="16"/>
      <c r="D33" s="17">
        <v>4</v>
      </c>
      <c r="E33" s="17"/>
      <c r="F33" s="17" t="s">
        <v>14</v>
      </c>
      <c r="G33" s="17"/>
      <c r="H33" s="17" t="s">
        <v>437</v>
      </c>
      <c r="I33" s="17" t="s">
        <v>1472</v>
      </c>
      <c r="J33" s="17">
        <v>30095</v>
      </c>
      <c r="K33" s="35" t="s">
        <v>437</v>
      </c>
      <c r="L33" s="32" t="str">
        <f t="shared" si="0"/>
        <v>172.29.10.69</v>
      </c>
      <c r="M33" s="35">
        <v>30120</v>
      </c>
      <c r="N33" s="32" t="str">
        <f t="shared" si="1"/>
        <v>172.29.10.70</v>
      </c>
      <c r="O33" s="35">
        <f t="shared" si="4"/>
        <v>40120</v>
      </c>
      <c r="P33" s="35" t="s">
        <v>136</v>
      </c>
      <c r="Q33" s="36" t="s">
        <v>96</v>
      </c>
      <c r="R33" s="3" t="str">
        <f t="shared" si="3"/>
        <v>"4":{"type":"con","dst_persist":"n","src":{"30120":{"raddr":"172.29.10.69:0","mhdr":"iBHb2","name":"NODO-01"},"40120":{"raddr":"172.29.10.70:0","mhdr":"iBHb2","name":"NODO-02"}},"dst":{"mode":"client","raddr":"172.19.209.53:30095","mhdr":"iBHb2","name":"AMEX BANCOLOMBIA ADQUIRIENTE PT Out 2"},"plugin": {"file":"slb_plugin_rm_amex.so","type":"RM","args": {"nodrop":"n"}}}}},</v>
      </c>
    </row>
    <row r="34" spans="1:18" ht="15" thickBot="1">
      <c r="A34" s="47">
        <v>8</v>
      </c>
      <c r="B34" s="23" t="s">
        <v>73</v>
      </c>
      <c r="C34" s="23"/>
      <c r="D34" s="29">
        <v>1</v>
      </c>
      <c r="E34" s="29"/>
      <c r="F34" s="29" t="s">
        <v>8</v>
      </c>
      <c r="G34" s="29" t="s">
        <v>231</v>
      </c>
      <c r="H34" s="29" t="s">
        <v>156</v>
      </c>
      <c r="I34" s="29"/>
      <c r="J34" s="29">
        <v>10100</v>
      </c>
      <c r="K34" s="32" t="s">
        <v>156</v>
      </c>
      <c r="L34" s="32" t="str">
        <f t="shared" si="0"/>
        <v>172.29.10.69</v>
      </c>
      <c r="M34" s="32">
        <v>30500</v>
      </c>
      <c r="N34" s="32" t="str">
        <f t="shared" si="1"/>
        <v>172.29.10.70</v>
      </c>
      <c r="O34" s="32">
        <f t="shared" si="4"/>
        <v>40500</v>
      </c>
      <c r="P34" s="32" t="s">
        <v>157</v>
      </c>
      <c r="Q34" s="49" t="s">
        <v>95</v>
      </c>
      <c r="R34" s="3" t="str">
        <f t="shared" si="3"/>
        <v>"8":{"rules":{"1":{"type":"con","dst_persist":"n","src":{"30500":{"raddr":"172.29.10.69:0","mhdr":"visa","name":"NODO-01"},"40500":{"raddr":"172.29.10.70:0","mhdr":"visa","name":"NODO-02"}},"dst":{"mode":"server","raddr":"172.19.211.101:0","lport":"10100 visa","name":"VISA (B24-SV) PT In 1"},"plugin": {"file":"slb_plugin_rm_visa.so","type":"RM","args": {"nodrop":"n"}}},</v>
      </c>
    </row>
    <row r="35" spans="1:18" ht="15" thickBot="1">
      <c r="A35" s="30"/>
      <c r="B35" s="7" t="s">
        <v>74</v>
      </c>
      <c r="C35" s="7"/>
      <c r="D35" s="8">
        <v>2</v>
      </c>
      <c r="E35" s="8"/>
      <c r="F35" s="8" t="s">
        <v>8</v>
      </c>
      <c r="G35" s="8" t="s">
        <v>231</v>
      </c>
      <c r="H35" s="8" t="s">
        <v>156</v>
      </c>
      <c r="I35" s="8"/>
      <c r="J35" s="8">
        <v>10101</v>
      </c>
      <c r="K35" s="33" t="s">
        <v>156</v>
      </c>
      <c r="L35" s="32" t="str">
        <f t="shared" si="0"/>
        <v>172.29.10.69</v>
      </c>
      <c r="M35" s="33">
        <v>30520</v>
      </c>
      <c r="N35" s="32" t="str">
        <f t="shared" si="1"/>
        <v>172.29.10.70</v>
      </c>
      <c r="O35" s="33">
        <f t="shared" si="4"/>
        <v>40520</v>
      </c>
      <c r="P35" s="33" t="s">
        <v>157</v>
      </c>
      <c r="Q35" s="34" t="s">
        <v>95</v>
      </c>
      <c r="R35" s="3" t="str">
        <f t="shared" si="3"/>
        <v>"2":{"type":"con","dst_persist":"n","src":{"30520":{"raddr":"172.29.10.69:0","mhdr":"visa","name":"NODO-01"},"40520":{"raddr":"172.29.10.70:0","mhdr":"visa","name":"NODO-02"}},"dst":{"mode":"server","raddr":"172.19.211.101:0","lport":"10101 visa","name":"VISA (B24-SV) PT In 2"},"plugin": {"file":"slb_plugin_rm_visa.so","type":"RM","args": {"nodrop":"n"}}},</v>
      </c>
    </row>
    <row r="36" spans="1:18" ht="15" thickBot="1">
      <c r="A36" s="30"/>
      <c r="B36" s="7" t="s">
        <v>72</v>
      </c>
      <c r="C36" s="7"/>
      <c r="D36" s="8">
        <v>3</v>
      </c>
      <c r="E36" s="8"/>
      <c r="F36" s="8" t="s">
        <v>14</v>
      </c>
      <c r="G36" s="8"/>
      <c r="H36" s="8" t="s">
        <v>156</v>
      </c>
      <c r="I36" s="8" t="s">
        <v>232</v>
      </c>
      <c r="J36" s="8">
        <v>10100</v>
      </c>
      <c r="K36" s="33" t="s">
        <v>156</v>
      </c>
      <c r="L36" s="32" t="str">
        <f t="shared" si="0"/>
        <v>172.29.10.69</v>
      </c>
      <c r="M36" s="33">
        <v>30510</v>
      </c>
      <c r="N36" s="32" t="str">
        <f t="shared" si="1"/>
        <v>172.29.10.70</v>
      </c>
      <c r="O36" s="33">
        <f t="shared" si="4"/>
        <v>40510</v>
      </c>
      <c r="P36" s="33" t="s">
        <v>157</v>
      </c>
      <c r="Q36" s="34" t="s">
        <v>95</v>
      </c>
      <c r="R36" s="3" t="str">
        <f t="shared" si="3"/>
        <v>"3":{"type":"con","dst_persist":"n","src":{"30510":{"raddr":"172.29.10.69:0","mhdr":"visa","name":"NODO-01"},"40510":{"raddr":"172.29.10.70:0","mhdr":"visa","name":"NODO-02"}},"dst":{"mode":"client","raddr":"172.19.213.2:10100","mhdr":"visa","name":"Red Visa Out 1"},"plugin": {"file":"slb_plugin_rm_visa.so","type":"RM","args": {"nodrop":"n"}}},</v>
      </c>
    </row>
    <row r="37" spans="1:18" ht="15" thickBot="1">
      <c r="A37" s="40"/>
      <c r="B37" s="16" t="s">
        <v>71</v>
      </c>
      <c r="C37" s="16"/>
      <c r="D37" s="17">
        <v>4</v>
      </c>
      <c r="E37" s="17"/>
      <c r="F37" s="17" t="s">
        <v>14</v>
      </c>
      <c r="G37" s="17"/>
      <c r="H37" s="17" t="s">
        <v>156</v>
      </c>
      <c r="I37" s="17" t="s">
        <v>233</v>
      </c>
      <c r="J37" s="17">
        <v>10101</v>
      </c>
      <c r="K37" s="35" t="s">
        <v>156</v>
      </c>
      <c r="L37" s="32" t="str">
        <f t="shared" si="0"/>
        <v>172.29.10.69</v>
      </c>
      <c r="M37" s="35">
        <v>30530</v>
      </c>
      <c r="N37" s="32" t="str">
        <f t="shared" si="1"/>
        <v>172.29.10.70</v>
      </c>
      <c r="O37" s="35">
        <f t="shared" si="4"/>
        <v>40530</v>
      </c>
      <c r="P37" s="35" t="s">
        <v>157</v>
      </c>
      <c r="Q37" s="36" t="s">
        <v>96</v>
      </c>
      <c r="R37" s="3" t="str">
        <f t="shared" si="3"/>
        <v>"4":{"type":"con","dst_persist":"n","src":{"30530":{"raddr":"172.29.10.69:0","mhdr":"visa","name":"NODO-01"},"40530":{"raddr":"172.29.10.70:0","mhdr":"visa","name":"NODO-02"}},"dst":{"mode":"client","raddr":"172.19.213.3:10101","mhdr":"visa","name":"Red Visa Out 2"},"plugin": {"file":"slb_plugin_rm_visa.so","type":"RM","args": {"nodrop":"n"}}}}},</v>
      </c>
    </row>
    <row r="38" spans="1:18" ht="15" thickBot="1">
      <c r="A38" s="47">
        <v>9</v>
      </c>
      <c r="B38" s="23" t="s">
        <v>148</v>
      </c>
      <c r="C38" s="23"/>
      <c r="D38" s="29">
        <v>1</v>
      </c>
      <c r="E38" s="29"/>
      <c r="F38" s="29" t="s">
        <v>14</v>
      </c>
      <c r="G38" s="29"/>
      <c r="H38" s="29" t="s">
        <v>437</v>
      </c>
      <c r="I38" s="29" t="s">
        <v>231</v>
      </c>
      <c r="J38" s="29">
        <v>7777</v>
      </c>
      <c r="K38" s="32" t="s">
        <v>437</v>
      </c>
      <c r="L38" s="32" t="str">
        <f t="shared" si="0"/>
        <v>172.29.10.69</v>
      </c>
      <c r="M38" s="32">
        <v>30420</v>
      </c>
      <c r="N38" s="32" t="str">
        <f t="shared" si="1"/>
        <v>172.29.10.70</v>
      </c>
      <c r="O38" s="32">
        <f>M38+10000</f>
        <v>40420</v>
      </c>
      <c r="P38" s="32" t="s">
        <v>94</v>
      </c>
      <c r="Q38" s="49" t="s">
        <v>95</v>
      </c>
      <c r="R38" s="3" t="str">
        <f t="shared" si="3"/>
        <v>"9":{"rules":{"1":{"type":"con","dst_persist":"n","src":{"30420":{"raddr":"172.29.10.69:0","mhdr":"iBHb2","name":"NODO-01"},"40420":{"raddr":"172.29.10.70:0","mhdr":"iBHb2","name":"NODO-02"}},"dst":{"mode":"client","raddr":"172.19.211.101:7777","mhdr":"iBHb2","name":"MC BICISO Ntwk In 1"},"plugin": {"file":"slb_plugin_rm_biciso.so","type":"RM","args": {"nodrop":"n"}}},</v>
      </c>
    </row>
    <row r="39" spans="1:18" ht="15" thickBot="1">
      <c r="A39" s="40"/>
      <c r="B39" s="16" t="s">
        <v>149</v>
      </c>
      <c r="C39" s="16"/>
      <c r="D39" s="17">
        <v>2</v>
      </c>
      <c r="E39" s="17"/>
      <c r="F39" s="17" t="s">
        <v>14</v>
      </c>
      <c r="G39" s="17"/>
      <c r="H39" s="17" t="s">
        <v>437</v>
      </c>
      <c r="I39" s="17" t="s">
        <v>231</v>
      </c>
      <c r="J39" s="17">
        <v>7778</v>
      </c>
      <c r="K39" s="35" t="s">
        <v>437</v>
      </c>
      <c r="L39" s="32" t="str">
        <f t="shared" si="0"/>
        <v>172.29.10.69</v>
      </c>
      <c r="M39" s="35">
        <v>30440</v>
      </c>
      <c r="N39" s="32" t="str">
        <f t="shared" si="1"/>
        <v>172.29.10.70</v>
      </c>
      <c r="O39" s="32">
        <f>M39+10000</f>
        <v>40440</v>
      </c>
      <c r="P39" s="35" t="s">
        <v>94</v>
      </c>
      <c r="Q39" s="36" t="s">
        <v>96</v>
      </c>
      <c r="R39" s="3" t="str">
        <f t="shared" si="3"/>
        <v>"2":{"type":"con","dst_persist":"n","src":{"30440":{"raddr":"172.29.10.69:0","mhdr":"iBHb2","name":"NODO-01"},"40440":{"raddr":"172.29.10.70:0","mhdr":"iBHb2","name":"NODO-02"}},"dst":{"mode":"client","raddr":"172.19.211.101:7778","mhdr":"iBHb2","name":"MC BICISO Ntwk In 2"},"plugin": {"file":"slb_plugin_rm_biciso.so","type":"RM","args": {"nodrop":"n"}}}}},</v>
      </c>
    </row>
    <row r="40" spans="1:18" ht="15" thickBot="1">
      <c r="A40" s="47">
        <v>10</v>
      </c>
      <c r="B40" s="23" t="s">
        <v>237</v>
      </c>
      <c r="C40" s="23"/>
      <c r="D40" s="29">
        <v>1</v>
      </c>
      <c r="E40" s="29"/>
      <c r="F40" s="29" t="s">
        <v>8</v>
      </c>
      <c r="G40" s="29" t="s">
        <v>241</v>
      </c>
      <c r="H40" s="29" t="s">
        <v>55</v>
      </c>
      <c r="I40" s="29"/>
      <c r="J40" s="29">
        <v>2200</v>
      </c>
      <c r="K40" s="32" t="s">
        <v>55</v>
      </c>
      <c r="L40" s="32" t="str">
        <f t="shared" si="0"/>
        <v>172.29.10.69</v>
      </c>
      <c r="M40" s="32">
        <v>30630</v>
      </c>
      <c r="N40" s="32" t="str">
        <f t="shared" si="1"/>
        <v>172.29.10.70</v>
      </c>
      <c r="O40" s="32">
        <f t="shared" ref="O40:O47" si="5">+M40+10000</f>
        <v>40630</v>
      </c>
      <c r="P40" s="32" t="s">
        <v>94</v>
      </c>
      <c r="Q40" s="49" t="s">
        <v>95</v>
      </c>
      <c r="R40" s="3" t="str">
        <f t="shared" si="3"/>
        <v>"10":{"rules":{"1":{"type":"con","dst_persist":"n","src":{"30630":{"raddr":"172.29.10.69:0","mhdr":"BHb2","name":"NODO-01"},"40630":{"raddr":"172.29.10.70:0","mhdr":"BHb2","name":"NODO-02"}},"dst":{"mode":"server","raddr":"172.19.202.220:0","lport":"2200 BHb2","name":"Vpayment In 1"},"plugin": {"file":"slb_plugin_rm_biciso.so","type":"RM","args": {"nodrop":"n"}}},</v>
      </c>
    </row>
    <row r="41" spans="1:18" ht="15" thickBot="1">
      <c r="A41" s="30"/>
      <c r="B41" s="7" t="s">
        <v>238</v>
      </c>
      <c r="C41" s="7"/>
      <c r="D41" s="8">
        <v>2</v>
      </c>
      <c r="E41" s="8"/>
      <c r="F41" s="8" t="s">
        <v>8</v>
      </c>
      <c r="G41" s="8" t="s">
        <v>241</v>
      </c>
      <c r="H41" s="8" t="s">
        <v>55</v>
      </c>
      <c r="I41" s="8"/>
      <c r="J41" s="8">
        <v>3200</v>
      </c>
      <c r="K41" s="33" t="s">
        <v>55</v>
      </c>
      <c r="L41" s="32" t="str">
        <f t="shared" si="0"/>
        <v>172.29.10.69</v>
      </c>
      <c r="M41" s="33">
        <v>30650</v>
      </c>
      <c r="N41" s="32" t="str">
        <f t="shared" si="1"/>
        <v>172.29.10.70</v>
      </c>
      <c r="O41" s="33">
        <f t="shared" si="5"/>
        <v>40650</v>
      </c>
      <c r="P41" s="33" t="s">
        <v>94</v>
      </c>
      <c r="Q41" s="34" t="s">
        <v>95</v>
      </c>
      <c r="R41" s="3" t="str">
        <f t="shared" si="3"/>
        <v>"2":{"type":"con","dst_persist":"n","src":{"30650":{"raddr":"172.29.10.69:0","mhdr":"BHb2","name":"NODO-01"},"40650":{"raddr":"172.29.10.70:0","mhdr":"BHb2","name":"NODO-02"}},"dst":{"mode":"server","raddr":"172.19.202.220:0","lport":"3200 BHb2","name":"Vpayment In 2"},"plugin": {"file":"slb_plugin_rm_biciso.so","type":"RM","args": {"nodrop":"n"}}},</v>
      </c>
    </row>
    <row r="42" spans="1:18" ht="15" thickBot="1">
      <c r="A42" s="30"/>
      <c r="B42" s="7" t="s">
        <v>239</v>
      </c>
      <c r="C42" s="7"/>
      <c r="D42" s="8">
        <v>3</v>
      </c>
      <c r="E42" s="8"/>
      <c r="F42" s="8" t="s">
        <v>14</v>
      </c>
      <c r="G42" s="8"/>
      <c r="H42" s="8" t="s">
        <v>55</v>
      </c>
      <c r="I42" s="8" t="s">
        <v>242</v>
      </c>
      <c r="J42" s="8">
        <v>2200</v>
      </c>
      <c r="K42" s="33" t="s">
        <v>55</v>
      </c>
      <c r="L42" s="32" t="str">
        <f t="shared" si="0"/>
        <v>172.29.10.69</v>
      </c>
      <c r="M42" s="33">
        <v>30640</v>
      </c>
      <c r="N42" s="32" t="str">
        <f t="shared" si="1"/>
        <v>172.29.10.70</v>
      </c>
      <c r="O42" s="33">
        <f t="shared" si="5"/>
        <v>40640</v>
      </c>
      <c r="P42" s="33" t="s">
        <v>94</v>
      </c>
      <c r="Q42" s="34" t="s">
        <v>95</v>
      </c>
      <c r="R42" s="3" t="str">
        <f t="shared" si="3"/>
        <v>"3":{"type":"con","dst_persist":"n","src":{"30640":{"raddr":"172.29.10.69:0","mhdr":"BHb2","name":"NODO-01"},"40640":{"raddr":"172.29.10.70:0","mhdr":"BHb2","name":"NODO-02"}},"dst":{"mode":"client","raddr":"172.19.211.103:2200","mhdr":"BHb2","name":"Vpay (VPAY - BASE24) Out 1"},"plugin": {"file":"slb_plugin_rm_biciso.so","type":"RM","args": {"nodrop":"n"}}},</v>
      </c>
    </row>
    <row r="43" spans="1:18" ht="15" thickBot="1">
      <c r="A43" s="40"/>
      <c r="B43" s="16" t="s">
        <v>240</v>
      </c>
      <c r="C43" s="16"/>
      <c r="D43" s="17">
        <v>4</v>
      </c>
      <c r="E43" s="17"/>
      <c r="F43" s="17" t="s">
        <v>14</v>
      </c>
      <c r="G43" s="17"/>
      <c r="H43" s="17" t="s">
        <v>55</v>
      </c>
      <c r="I43" s="17" t="s">
        <v>242</v>
      </c>
      <c r="J43" s="17">
        <v>3200</v>
      </c>
      <c r="K43" s="35" t="s">
        <v>55</v>
      </c>
      <c r="L43" s="32" t="str">
        <f t="shared" si="0"/>
        <v>172.29.10.69</v>
      </c>
      <c r="M43" s="35">
        <v>30660</v>
      </c>
      <c r="N43" s="32" t="str">
        <f t="shared" si="1"/>
        <v>172.29.10.70</v>
      </c>
      <c r="O43" s="35">
        <f t="shared" si="5"/>
        <v>40660</v>
      </c>
      <c r="P43" s="35" t="s">
        <v>94</v>
      </c>
      <c r="Q43" s="36" t="s">
        <v>96</v>
      </c>
      <c r="R43" s="3" t="str">
        <f t="shared" si="3"/>
        <v>"4":{"type":"con","dst_persist":"n","src":{"30660":{"raddr":"172.29.10.69:0","mhdr":"BHb2","name":"NODO-01"},"40660":{"raddr":"172.29.10.70:0","mhdr":"BHb2","name":"NODO-02"}},"dst":{"mode":"client","raddr":"172.19.211.103:3200","mhdr":"BHb2","name":"Vpay (VPAY - BASE24) Out 2"},"plugin": {"file":"slb_plugin_rm_biciso.so","type":"RM","args": {"nodrop":"n"}}}}},</v>
      </c>
    </row>
    <row r="44" spans="1:18" ht="15" thickBot="1">
      <c r="A44" s="47">
        <v>11</v>
      </c>
      <c r="B44" s="23" t="s">
        <v>243</v>
      </c>
      <c r="C44" s="23"/>
      <c r="D44" s="29">
        <v>1</v>
      </c>
      <c r="E44" s="29"/>
      <c r="F44" s="29" t="s">
        <v>8</v>
      </c>
      <c r="G44" s="29" t="s">
        <v>247</v>
      </c>
      <c r="H44" s="29" t="s">
        <v>55</v>
      </c>
      <c r="I44" s="29"/>
      <c r="J44" s="29">
        <v>3539</v>
      </c>
      <c r="K44" s="32" t="s">
        <v>55</v>
      </c>
      <c r="L44" s="32" t="str">
        <f t="shared" si="0"/>
        <v>172.29.10.69</v>
      </c>
      <c r="M44" s="32">
        <v>30560</v>
      </c>
      <c r="N44" s="32" t="str">
        <f t="shared" si="1"/>
        <v>172.29.10.70</v>
      </c>
      <c r="O44" s="32">
        <f t="shared" si="5"/>
        <v>40560</v>
      </c>
      <c r="P44" s="32" t="s">
        <v>94</v>
      </c>
      <c r="Q44" s="49" t="s">
        <v>95</v>
      </c>
      <c r="R44" s="3" t="str">
        <f t="shared" si="3"/>
        <v>"11":{"rules":{"1":{"type":"con","dst_persist":"n","src":{"30560":{"raddr":"172.29.10.69:0","mhdr":"BHb2","name":"NODO-01"},"40560":{"raddr":"172.29.10.70:0","mhdr":"BHb2","name":"NODO-02"}},"dst":{"mode":"server","raddr":"172.19.202.212:0","lport":"3539 BHb2","name":"Pago Automatico In 1"},"plugin": {"file":"slb_plugin_rm_biciso.so","type":"RM","args": {"nodrop":"n"}}},</v>
      </c>
    </row>
    <row r="45" spans="1:18" ht="15" thickBot="1">
      <c r="A45" s="30"/>
      <c r="B45" s="7" t="s">
        <v>244</v>
      </c>
      <c r="C45" s="7"/>
      <c r="D45" s="8">
        <v>2</v>
      </c>
      <c r="E45" s="8"/>
      <c r="F45" s="8" t="s">
        <v>8</v>
      </c>
      <c r="G45" s="8" t="s">
        <v>248</v>
      </c>
      <c r="H45" s="8" t="s">
        <v>55</v>
      </c>
      <c r="I45" s="8"/>
      <c r="J45" s="8">
        <v>3540</v>
      </c>
      <c r="K45" s="33" t="s">
        <v>55</v>
      </c>
      <c r="L45" s="32" t="str">
        <f t="shared" si="0"/>
        <v>172.29.10.69</v>
      </c>
      <c r="M45" s="33">
        <v>30580</v>
      </c>
      <c r="N45" s="32" t="str">
        <f t="shared" si="1"/>
        <v>172.29.10.70</v>
      </c>
      <c r="O45" s="33">
        <f t="shared" si="5"/>
        <v>40580</v>
      </c>
      <c r="P45" s="33" t="s">
        <v>94</v>
      </c>
      <c r="Q45" s="34" t="s">
        <v>95</v>
      </c>
      <c r="R45" s="3" t="str">
        <f t="shared" si="3"/>
        <v>"2":{"type":"con","dst_persist":"n","src":{"30580":{"raddr":"172.29.10.69:0","mhdr":"BHb2","name":"NODO-01"},"40580":{"raddr":"172.29.10.70:0","mhdr":"BHb2","name":"NODO-02"}},"dst":{"mode":"server","raddr":"172.19.202.213:0","lport":"3540 BHb2","name":"Pago Automatico In 2"},"plugin": {"file":"slb_plugin_rm_biciso.so","type":"RM","args": {"nodrop":"n"}}},</v>
      </c>
    </row>
    <row r="46" spans="1:18" ht="15" thickBot="1">
      <c r="A46" s="30"/>
      <c r="B46" s="7" t="s">
        <v>245</v>
      </c>
      <c r="C46" s="7"/>
      <c r="D46" s="8">
        <v>3</v>
      </c>
      <c r="E46" s="8"/>
      <c r="F46" s="8" t="s">
        <v>14</v>
      </c>
      <c r="G46" s="8"/>
      <c r="H46" s="8" t="s">
        <v>55</v>
      </c>
      <c r="I46" s="8" t="s">
        <v>242</v>
      </c>
      <c r="J46" s="8">
        <v>3539</v>
      </c>
      <c r="K46" s="33" t="s">
        <v>55</v>
      </c>
      <c r="L46" s="32" t="str">
        <f t="shared" si="0"/>
        <v>172.29.10.69</v>
      </c>
      <c r="M46" s="33">
        <v>30570</v>
      </c>
      <c r="N46" s="32" t="str">
        <f t="shared" si="1"/>
        <v>172.29.10.70</v>
      </c>
      <c r="O46" s="33">
        <f t="shared" si="5"/>
        <v>40570</v>
      </c>
      <c r="P46" s="33" t="s">
        <v>94</v>
      </c>
      <c r="Q46" s="34" t="s">
        <v>95</v>
      </c>
      <c r="R46" s="3" t="str">
        <f t="shared" si="3"/>
        <v>"3":{"type":"con","dst_persist":"n","src":{"30570":{"raddr":"172.29.10.69:0","mhdr":"BHb2","name":"NODO-01"},"40570":{"raddr":"172.29.10.70:0","mhdr":"BHb2","name":"NODO-02"}},"dst":{"mode":"client","raddr":"172.19.211.103:3539","mhdr":"BHb2","name":"PA (PA - BASE24) Out 1"},"plugin": {"file":"slb_plugin_rm_biciso.so","type":"RM","args": {"nodrop":"n"}}},</v>
      </c>
    </row>
    <row r="47" spans="1:18" ht="15" thickBot="1">
      <c r="A47" s="40"/>
      <c r="B47" s="16" t="s">
        <v>246</v>
      </c>
      <c r="C47" s="16"/>
      <c r="D47" s="17">
        <v>4</v>
      </c>
      <c r="E47" s="17"/>
      <c r="F47" s="17" t="s">
        <v>14</v>
      </c>
      <c r="G47" s="17"/>
      <c r="H47" s="17" t="s">
        <v>55</v>
      </c>
      <c r="I47" s="17" t="s">
        <v>242</v>
      </c>
      <c r="J47" s="17">
        <v>3540</v>
      </c>
      <c r="K47" s="35" t="s">
        <v>55</v>
      </c>
      <c r="L47" s="32" t="str">
        <f t="shared" si="0"/>
        <v>172.29.10.69</v>
      </c>
      <c r="M47" s="35">
        <v>30590</v>
      </c>
      <c r="N47" s="32" t="str">
        <f t="shared" si="1"/>
        <v>172.29.10.70</v>
      </c>
      <c r="O47" s="35">
        <f t="shared" si="5"/>
        <v>40590</v>
      </c>
      <c r="P47" s="35" t="s">
        <v>94</v>
      </c>
      <c r="Q47" s="36" t="s">
        <v>96</v>
      </c>
      <c r="R47" s="3" t="str">
        <f t="shared" si="3"/>
        <v>"4":{"type":"con","dst_persist":"n","src":{"30590":{"raddr":"172.29.10.69:0","mhdr":"BHb2","name":"NODO-01"},"40590":{"raddr":"172.29.10.70:0","mhdr":"BHb2","name":"NODO-02"}},"dst":{"mode":"client","raddr":"172.19.211.103:3540","mhdr":"BHb2","name":"PA (PA - BASE24) Out 2"},"plugin": {"file":"slb_plugin_rm_biciso.so","type":"RM","args": {"nodrop":"n"}}}}},</v>
      </c>
    </row>
    <row r="48" spans="1:18" ht="15" thickBot="1">
      <c r="A48" s="47">
        <v>12</v>
      </c>
      <c r="B48" s="23" t="s">
        <v>112</v>
      </c>
      <c r="C48" s="23"/>
      <c r="D48" s="29">
        <v>1</v>
      </c>
      <c r="E48" s="29"/>
      <c r="F48" s="29" t="s">
        <v>8</v>
      </c>
      <c r="G48" s="29" t="s">
        <v>249</v>
      </c>
      <c r="H48" s="29" t="s">
        <v>437</v>
      </c>
      <c r="I48" s="29"/>
      <c r="J48" s="29">
        <v>2214</v>
      </c>
      <c r="K48" s="32" t="s">
        <v>437</v>
      </c>
      <c r="L48" s="32" t="str">
        <f t="shared" si="0"/>
        <v>172.29.10.69</v>
      </c>
      <c r="M48" s="32">
        <v>32214</v>
      </c>
      <c r="N48" s="33" t="s">
        <v>94</v>
      </c>
      <c r="O48" s="33" t="s">
        <v>95</v>
      </c>
      <c r="P48" s="52"/>
      <c r="Q48" s="45"/>
      <c r="R48" s="3" t="str">
        <f>CONCATENATE(IF(A48&lt;&gt;"",CONCATENATE("""",A48,"""",":{","""","rules","""",":{"),""),"""",D48,""":{""type"":""con"",""dst_persist"":""n"",""src"":{""",M48,""":{""raddr"":""",L48,":0"",""mhdr"":""",K48,""",","""name""",":","""NODO-01","""}},","""dst"":{""mode"":""",F48,""",""raddr"":""",IF(F48="server",G48,I48),":",IF(F48="server",0,J48),""",""",IF(F48="server","lport","mhdr"),""":""",IF(F48="server",J48,""),IF(F48="server"," ",""),K48,""",","""name""",":","""",B48,IF(N48&lt;&gt;"",CONCATENATE("""},","""plugin""",": {","""file""",":""",N48,""",","""type""",":","""","RM""",",","""args""",": {","""nodrop""",":","""n""","}")),O48)</f>
        <v>"12":{"rules":{"1":{"type":"con","dst_persist":"n","src":{"32214":{"raddr":"172.29.10.69:0","mhdr":"iBHb2","name":"NODO-01"}},"dst":{"mode":"server","raddr":"10.1.3.138:0","lport":"2214 iBHb2","name":"Itau In 1"},"plugin": {"file":"slb_plugin_rm_biciso.so","type":"RM","args": {"nodrop":"n"}}},</v>
      </c>
    </row>
    <row r="49" spans="1:18" ht="15" thickBot="1">
      <c r="A49" s="30"/>
      <c r="B49" s="7" t="s">
        <v>113</v>
      </c>
      <c r="C49" s="7"/>
      <c r="D49" s="8">
        <v>2</v>
      </c>
      <c r="E49" s="8"/>
      <c r="F49" s="8" t="s">
        <v>8</v>
      </c>
      <c r="G49" s="8" t="s">
        <v>249</v>
      </c>
      <c r="H49" s="8" t="s">
        <v>437</v>
      </c>
      <c r="I49" s="8"/>
      <c r="J49" s="8">
        <v>3214</v>
      </c>
      <c r="K49" s="33" t="s">
        <v>437</v>
      </c>
      <c r="L49" s="32" t="str">
        <f t="shared" si="0"/>
        <v>172.29.10.69</v>
      </c>
      <c r="M49" s="33">
        <v>33214</v>
      </c>
      <c r="N49" s="33" t="s">
        <v>94</v>
      </c>
      <c r="O49" s="33" t="s">
        <v>95</v>
      </c>
      <c r="P49" s="52"/>
      <c r="Q49" s="2"/>
      <c r="R49" s="3" t="str">
        <f>CONCATENATE(IF(A49&lt;&gt;"",CONCATENATE("""",A49,"""",":{","""","rules","""",":{"),""),"""",D49,""":{""type"":""con"",""dst_persist"":""n"",""src"":{""",M49,""":{""raddr"":""",L49,":0"",""mhdr"":""",K49,""",","""name""",":","""NODO-01","""}},","""dst"":{""mode"":""",F49,""",""raddr"":""",IF(F49="server",G49,I49),":",IF(F49="server",0,J49),""",""",IF(F49="server","lport","mhdr"),""":""",IF(F49="server",J49,""),IF(F49="server"," ",""),K49,""",","""name""",":","""",B49,IF(N49&lt;&gt;"",CONCATENATE("""},","""plugin""",": {","""file""",":""",N49,""",","""type""",":","""","RM""",",","""args""",": {","""nodrop""",":","""n""","}")),O49)</f>
        <v>"2":{"type":"con","dst_persist":"n","src":{"33214":{"raddr":"172.29.10.69:0","mhdr":"iBHb2","name":"NODO-01"}},"dst":{"mode":"server","raddr":"10.1.3.138:0","lport":"3214 iBHb2","name":"Itau In 2"},"plugin": {"file":"slb_plugin_rm_biciso.so","type":"RM","args": {"nodrop":"n"}}},</v>
      </c>
    </row>
    <row r="50" spans="1:18" ht="15" thickBot="1">
      <c r="A50" s="30"/>
      <c r="B50" s="7" t="s">
        <v>114</v>
      </c>
      <c r="C50" s="7"/>
      <c r="D50" s="8">
        <v>3</v>
      </c>
      <c r="E50" s="8"/>
      <c r="F50" s="8" t="s">
        <v>14</v>
      </c>
      <c r="G50" s="8"/>
      <c r="H50" s="8" t="s">
        <v>437</v>
      </c>
      <c r="I50" s="8" t="s">
        <v>236</v>
      </c>
      <c r="J50" s="8">
        <v>2214</v>
      </c>
      <c r="K50" s="33" t="s">
        <v>437</v>
      </c>
      <c r="L50" s="32" t="str">
        <f t="shared" si="0"/>
        <v>172.29.10.69</v>
      </c>
      <c r="M50" s="33">
        <v>52214</v>
      </c>
      <c r="N50" s="32" t="str">
        <f t="shared" si="1"/>
        <v>172.29.10.70</v>
      </c>
      <c r="O50" s="34">
        <f>+M50-30000</f>
        <v>22214</v>
      </c>
      <c r="P50" s="53" t="s">
        <v>94</v>
      </c>
      <c r="Q50" s="33" t="s">
        <v>95</v>
      </c>
      <c r="R50" s="3" t="str">
        <f>CONCATENATE(IF(A50&lt;&gt;"",CONCATENATE("""",A50,"""",":{","""","rules","""",":{"),""),"""",D50,""":{""type"":""con"",""dst_persist"":""n"",""src"":{""",M50,""":{""raddr"":""",L50,":0"",""mhdr"":""",K50,""",","""name""",":","""NODO-01","""},""",O50,""":{""raddr"":""",N50,":0"",""mhdr"":""",K50,""",","""name""",":","""NODO-02","""}},","""dst"":{""mode"":""",F50,""",""raddr"":""",IF(F50="server",G50,I50),":",IF(F50="server",0,J50),""",""",IF(F50="server","lport","mhdr"),""":""",IF(F50="server",J50,""),IF(F50="server"," ",""),K50,""",","""name""",":","""",B50,IF(P50&lt;&gt;"",CONCATENATE("""},","""plugin""",": {","""file""",":""",P50,""",","""type""",":","""","RM""",",","""args""",": {","""nodrop""",":","""n""","}")),Q50)</f>
        <v>"3":{"type":"con","dst_persist":"n","src":{"52214":{"raddr":"172.29.10.69:0","mhdr":"iBHb2","name":"NODO-01"},"22214":{"raddr":"172.29.10.70:0","mhdr":"iBHb2","name":"NODO-02"}},"dst":{"mode":"client","raddr":"172.19.211.102:2214","mhdr":"iBHb2","name":"Itau Out 1"},"plugin": {"file":"slb_plugin_rm_biciso.so","type":"RM","args": {"nodrop":"n"}}},</v>
      </c>
    </row>
    <row r="51" spans="1:18" ht="15" thickBot="1">
      <c r="A51" s="40"/>
      <c r="B51" s="16" t="s">
        <v>115</v>
      </c>
      <c r="C51" s="16"/>
      <c r="D51" s="17">
        <v>4</v>
      </c>
      <c r="E51" s="17"/>
      <c r="F51" s="17" t="s">
        <v>14</v>
      </c>
      <c r="G51" s="17"/>
      <c r="H51" s="17" t="s">
        <v>437</v>
      </c>
      <c r="I51" s="17" t="s">
        <v>236</v>
      </c>
      <c r="J51" s="17">
        <v>3214</v>
      </c>
      <c r="K51" s="35" t="s">
        <v>437</v>
      </c>
      <c r="L51" s="32" t="str">
        <f t="shared" si="0"/>
        <v>172.29.10.69</v>
      </c>
      <c r="M51" s="35">
        <v>53214</v>
      </c>
      <c r="N51" s="32" t="str">
        <f t="shared" si="1"/>
        <v>172.29.10.70</v>
      </c>
      <c r="O51" s="36">
        <f>+M51-30000</f>
        <v>23214</v>
      </c>
      <c r="P51" s="53" t="s">
        <v>94</v>
      </c>
      <c r="Q51" s="33" t="s">
        <v>96</v>
      </c>
      <c r="R51" s="3" t="str">
        <f t="shared" ref="R51:R67" si="6">CONCATENATE(IF(A51&lt;&gt;"",CONCATENATE("""",A51,"""",":{","""","rules","""",":{"),""),"""",D51,""":{""type"":""con"",""dst_persist"":""n"",""src"":{""",M51,""":{""raddr"":""",L51,":0"",""mhdr"":""",K51,""",","""name""",":","""NODO-01","""},""",O51,""":{""raddr"":""",N51,":0"",""mhdr"":""",K51,""",","""name""",":","""NODO-02","""}},","""dst"":{""mode"":""",F51,""",""raddr"":""",IF(F51="server",G51,I51),":",IF(F51="server",0,J51),""",""",IF(F51="server","lport","mhdr"),""":""",IF(F51="server",J51,""),IF(F51="server"," ",""),K51,""",","""name""",":","""",B51,IF(P51&lt;&gt;"",CONCATENATE("""},","""plugin""",": {","""file""",":""",P51,""",","""type""",":","""","RM""",",","""args""",": {","""nodrop""",":","""n""","}")),Q51)</f>
        <v>"4":{"type":"con","dst_persist":"n","src":{"53214":{"raddr":"172.29.10.69:0","mhdr":"iBHb2","name":"NODO-01"},"23214":{"raddr":"172.29.10.70:0","mhdr":"iBHb2","name":"NODO-02"}},"dst":{"mode":"client","raddr":"172.19.211.102:3214","mhdr":"iBHb2","name":"Itau Out 2"},"plugin": {"file":"slb_plugin_rm_biciso.so","type":"RM","args": {"nodrop":"n"}}}}},</v>
      </c>
    </row>
    <row r="52" spans="1:18" ht="15" thickBot="1">
      <c r="A52" s="47">
        <v>13</v>
      </c>
      <c r="B52" s="10" t="s">
        <v>1439</v>
      </c>
      <c r="C52" s="10"/>
      <c r="D52" s="29">
        <v>1</v>
      </c>
      <c r="E52" s="29"/>
      <c r="F52" s="29" t="s">
        <v>8</v>
      </c>
      <c r="G52" s="11" t="s">
        <v>1447</v>
      </c>
      <c r="H52" s="11" t="s">
        <v>55</v>
      </c>
      <c r="I52" s="29"/>
      <c r="J52" s="11">
        <v>8501</v>
      </c>
      <c r="K52" s="32" t="s">
        <v>55</v>
      </c>
      <c r="L52" s="32" t="str">
        <f t="shared" si="0"/>
        <v>172.29.10.69</v>
      </c>
      <c r="M52" s="48">
        <f>J52+30000</f>
        <v>38501</v>
      </c>
      <c r="N52" s="32" t="str">
        <f t="shared" si="1"/>
        <v>172.29.10.70</v>
      </c>
      <c r="O52" s="48">
        <f>+M52+10000</f>
        <v>48501</v>
      </c>
      <c r="P52" s="32" t="s">
        <v>94</v>
      </c>
      <c r="Q52" s="49" t="s">
        <v>95</v>
      </c>
      <c r="R52" s="3" t="str">
        <f t="shared" si="6"/>
        <v>"13":{"rules":{"1":{"type":"con","dst_persist":"n","src":{"38501":{"raddr":"172.29.10.69:0","mhdr":"BHb2","name":"NODO-01"},"48501":{"raddr":"172.29.10.70:0","mhdr":"BHb2","name":"NODO-02"}},"dst":{"mode":"server","raddr":"10.1.5.70:0","lport":"8501 BHb2","name":"MPOS Verifone In 1"},"plugin": {"file":"slb_plugin_rm_biciso.so","type":"RM","args": {"nodrop":"n"}}},</v>
      </c>
    </row>
    <row r="53" spans="1:18" ht="15" thickBot="1">
      <c r="A53" s="30"/>
      <c r="B53" s="10" t="s">
        <v>1440</v>
      </c>
      <c r="C53" s="2"/>
      <c r="D53" s="8">
        <v>2</v>
      </c>
      <c r="E53" s="8"/>
      <c r="F53" s="8" t="s">
        <v>8</v>
      </c>
      <c r="G53" s="6" t="s">
        <v>1447</v>
      </c>
      <c r="H53" s="6" t="s">
        <v>55</v>
      </c>
      <c r="I53" s="8"/>
      <c r="J53" s="6">
        <v>8502</v>
      </c>
      <c r="K53" s="33" t="s">
        <v>55</v>
      </c>
      <c r="L53" s="32" t="str">
        <f t="shared" si="0"/>
        <v>172.29.10.69</v>
      </c>
      <c r="M53" s="48">
        <f t="shared" ref="M53:M55" si="7">J53+30000</f>
        <v>38502</v>
      </c>
      <c r="N53" s="32" t="str">
        <f t="shared" si="1"/>
        <v>172.29.10.70</v>
      </c>
      <c r="O53" s="46">
        <f t="shared" ref="O53:O67" si="8">+M53+10000</f>
        <v>48502</v>
      </c>
      <c r="P53" s="32" t="s">
        <v>94</v>
      </c>
      <c r="Q53" s="34" t="s">
        <v>95</v>
      </c>
      <c r="R53" s="3" t="str">
        <f t="shared" si="6"/>
        <v>"2":{"type":"con","dst_persist":"n","src":{"38502":{"raddr":"172.29.10.69:0","mhdr":"BHb2","name":"NODO-01"},"48502":{"raddr":"172.29.10.70:0","mhdr":"BHb2","name":"NODO-02"}},"dst":{"mode":"server","raddr":"10.1.5.70:0","lport":"8502 BHb2","name":"MPOS Verifone In 2"},"plugin": {"file":"slb_plugin_rm_biciso.so","type":"RM","args": {"nodrop":"n"}}},</v>
      </c>
    </row>
    <row r="54" spans="1:18" ht="15" thickBot="1">
      <c r="A54" s="30"/>
      <c r="B54" s="10" t="s">
        <v>1441</v>
      </c>
      <c r="C54" s="2"/>
      <c r="D54" s="8">
        <v>3</v>
      </c>
      <c r="E54" s="8"/>
      <c r="F54" s="8" t="s">
        <v>8</v>
      </c>
      <c r="G54" s="6" t="s">
        <v>1447</v>
      </c>
      <c r="H54" s="6" t="s">
        <v>55</v>
      </c>
      <c r="I54" s="8"/>
      <c r="J54" s="6">
        <v>8503</v>
      </c>
      <c r="K54" s="33" t="s">
        <v>55</v>
      </c>
      <c r="L54" s="32" t="str">
        <f t="shared" si="0"/>
        <v>172.29.10.69</v>
      </c>
      <c r="M54" s="48">
        <f t="shared" si="7"/>
        <v>38503</v>
      </c>
      <c r="N54" s="32" t="str">
        <f t="shared" si="1"/>
        <v>172.29.10.70</v>
      </c>
      <c r="O54" s="46">
        <f t="shared" si="8"/>
        <v>48503</v>
      </c>
      <c r="P54" s="32" t="s">
        <v>94</v>
      </c>
      <c r="Q54" s="34" t="s">
        <v>95</v>
      </c>
      <c r="R54" s="3" t="str">
        <f t="shared" si="6"/>
        <v>"3":{"type":"con","dst_persist":"n","src":{"38503":{"raddr":"172.29.10.69:0","mhdr":"BHb2","name":"NODO-01"},"48503":{"raddr":"172.29.10.70:0","mhdr":"BHb2","name":"NODO-02"}},"dst":{"mode":"server","raddr":"10.1.5.70:0","lport":"8503 BHb2","name":"MPOS Verifone In 3"},"plugin": {"file":"slb_plugin_rm_biciso.so","type":"RM","args": {"nodrop":"n"}}},</v>
      </c>
    </row>
    <row r="55" spans="1:18" ht="15" thickBot="1">
      <c r="A55" s="30"/>
      <c r="B55" s="10" t="s">
        <v>1442</v>
      </c>
      <c r="C55" s="2"/>
      <c r="D55" s="8">
        <v>4</v>
      </c>
      <c r="E55" s="8"/>
      <c r="F55" s="8" t="s">
        <v>8</v>
      </c>
      <c r="G55" s="6" t="s">
        <v>1447</v>
      </c>
      <c r="H55" s="6" t="s">
        <v>55</v>
      </c>
      <c r="I55" s="8"/>
      <c r="J55" s="6">
        <v>8504</v>
      </c>
      <c r="K55" s="33" t="s">
        <v>55</v>
      </c>
      <c r="L55" s="32" t="str">
        <f t="shared" si="0"/>
        <v>172.29.10.69</v>
      </c>
      <c r="M55" s="48">
        <f t="shared" si="7"/>
        <v>38504</v>
      </c>
      <c r="N55" s="32" t="str">
        <f t="shared" si="1"/>
        <v>172.29.10.70</v>
      </c>
      <c r="O55" s="46">
        <f t="shared" si="8"/>
        <v>48504</v>
      </c>
      <c r="P55" s="32" t="s">
        <v>94</v>
      </c>
      <c r="Q55" s="34" t="s">
        <v>95</v>
      </c>
      <c r="R55" s="3" t="str">
        <f t="shared" si="6"/>
        <v>"4":{"type":"con","dst_persist":"n","src":{"38504":{"raddr":"172.29.10.69:0","mhdr":"BHb2","name":"NODO-01"},"48504":{"raddr":"172.29.10.70:0","mhdr":"BHb2","name":"NODO-02"}},"dst":{"mode":"server","raddr":"10.1.5.70:0","lport":"8504 BHb2","name":"MPOS Verifone In 4"},"plugin": {"file":"slb_plugin_rm_biciso.so","type":"RM","args": {"nodrop":"n"}}},</v>
      </c>
    </row>
    <row r="56" spans="1:18" ht="15" thickBot="1">
      <c r="A56" s="12"/>
      <c r="B56" s="2" t="s">
        <v>1443</v>
      </c>
      <c r="C56" s="2"/>
      <c r="D56" s="6">
        <v>5</v>
      </c>
      <c r="E56" s="6"/>
      <c r="F56" s="6" t="s">
        <v>14</v>
      </c>
      <c r="G56" s="6"/>
      <c r="H56" s="6" t="s">
        <v>55</v>
      </c>
      <c r="I56" s="6" t="s">
        <v>242</v>
      </c>
      <c r="J56" s="11">
        <v>8501</v>
      </c>
      <c r="K56" s="33" t="s">
        <v>55</v>
      </c>
      <c r="L56" s="32" t="str">
        <f t="shared" si="0"/>
        <v>172.29.10.69</v>
      </c>
      <c r="M56" s="48">
        <f>J56+30010</f>
        <v>38511</v>
      </c>
      <c r="N56" s="32" t="str">
        <f t="shared" si="1"/>
        <v>172.29.10.70</v>
      </c>
      <c r="O56" s="46">
        <f t="shared" si="8"/>
        <v>48511</v>
      </c>
      <c r="P56" s="32" t="s">
        <v>94</v>
      </c>
      <c r="Q56" s="34" t="s">
        <v>95</v>
      </c>
      <c r="R56" s="3" t="str">
        <f t="shared" si="6"/>
        <v>"5":{"type":"con","dst_persist":"n","src":{"38511":{"raddr":"172.29.10.69:0","mhdr":"BHb2","name":"NODO-01"},"48511":{"raddr":"172.29.10.70:0","mhdr":"BHb2","name":"NODO-02"}},"dst":{"mode":"client","raddr":"172.19.211.103:8501","mhdr":"BHb2","name":"MPOS Verifone Out 1"},"plugin": {"file":"slb_plugin_rm_biciso.so","type":"RM","args": {"nodrop":"n"}}},</v>
      </c>
    </row>
    <row r="57" spans="1:18" ht="15" thickBot="1">
      <c r="A57" s="12"/>
      <c r="B57" s="2" t="s">
        <v>1444</v>
      </c>
      <c r="C57" s="2"/>
      <c r="D57" s="6">
        <v>6</v>
      </c>
      <c r="E57" s="6"/>
      <c r="F57" s="6" t="s">
        <v>14</v>
      </c>
      <c r="G57" s="6"/>
      <c r="H57" s="6" t="s">
        <v>55</v>
      </c>
      <c r="I57" s="6" t="s">
        <v>242</v>
      </c>
      <c r="J57" s="6">
        <v>8502</v>
      </c>
      <c r="K57" s="33" t="s">
        <v>55</v>
      </c>
      <c r="L57" s="32" t="str">
        <f t="shared" si="0"/>
        <v>172.29.10.69</v>
      </c>
      <c r="M57" s="48">
        <f t="shared" ref="M57:M59" si="9">J57+30010</f>
        <v>38512</v>
      </c>
      <c r="N57" s="32" t="str">
        <f t="shared" si="1"/>
        <v>172.29.10.70</v>
      </c>
      <c r="O57" s="46">
        <f t="shared" si="8"/>
        <v>48512</v>
      </c>
      <c r="P57" s="32" t="s">
        <v>94</v>
      </c>
      <c r="Q57" s="34" t="s">
        <v>95</v>
      </c>
      <c r="R57" s="3" t="str">
        <f t="shared" si="6"/>
        <v>"6":{"type":"con","dst_persist":"n","src":{"38512":{"raddr":"172.29.10.69:0","mhdr":"BHb2","name":"NODO-01"},"48512":{"raddr":"172.29.10.70:0","mhdr":"BHb2","name":"NODO-02"}},"dst":{"mode":"client","raddr":"172.19.211.103:8502","mhdr":"BHb2","name":"MPOS Verifone Out 2"},"plugin": {"file":"slb_plugin_rm_biciso.so","type":"RM","args": {"nodrop":"n"}}},</v>
      </c>
    </row>
    <row r="58" spans="1:18" ht="15" thickBot="1">
      <c r="A58" s="12"/>
      <c r="B58" s="2" t="s">
        <v>1445</v>
      </c>
      <c r="C58" s="2"/>
      <c r="D58" s="6">
        <v>7</v>
      </c>
      <c r="E58" s="6"/>
      <c r="F58" s="6" t="s">
        <v>14</v>
      </c>
      <c r="G58" s="6"/>
      <c r="H58" s="6" t="s">
        <v>55</v>
      </c>
      <c r="I58" s="6" t="s">
        <v>242</v>
      </c>
      <c r="J58" s="6">
        <v>8503</v>
      </c>
      <c r="K58" s="33" t="s">
        <v>55</v>
      </c>
      <c r="L58" s="32" t="str">
        <f t="shared" si="0"/>
        <v>172.29.10.69</v>
      </c>
      <c r="M58" s="48">
        <f t="shared" si="9"/>
        <v>38513</v>
      </c>
      <c r="N58" s="32" t="str">
        <f t="shared" si="1"/>
        <v>172.29.10.70</v>
      </c>
      <c r="O58" s="46">
        <f t="shared" si="8"/>
        <v>48513</v>
      </c>
      <c r="P58" s="32" t="s">
        <v>94</v>
      </c>
      <c r="Q58" s="34" t="s">
        <v>95</v>
      </c>
      <c r="R58" s="3" t="str">
        <f t="shared" si="6"/>
        <v>"7":{"type":"con","dst_persist":"n","src":{"38513":{"raddr":"172.29.10.69:0","mhdr":"BHb2","name":"NODO-01"},"48513":{"raddr":"172.29.10.70:0","mhdr":"BHb2","name":"NODO-02"}},"dst":{"mode":"client","raddr":"172.19.211.103:8503","mhdr":"BHb2","name":"MPOS Verifone Out 3"},"plugin": {"file":"slb_plugin_rm_biciso.so","type":"RM","args": {"nodrop":"n"}}},</v>
      </c>
    </row>
    <row r="59" spans="1:18" ht="15" thickBot="1">
      <c r="A59" s="13"/>
      <c r="B59" s="2" t="s">
        <v>1446</v>
      </c>
      <c r="C59" s="14"/>
      <c r="D59" s="15">
        <v>8</v>
      </c>
      <c r="E59" s="15"/>
      <c r="F59" s="15" t="s">
        <v>14</v>
      </c>
      <c r="G59" s="15"/>
      <c r="H59" s="15" t="s">
        <v>55</v>
      </c>
      <c r="I59" s="15" t="s">
        <v>242</v>
      </c>
      <c r="J59" s="6">
        <v>8504</v>
      </c>
      <c r="K59" s="35" t="s">
        <v>55</v>
      </c>
      <c r="L59" s="32" t="str">
        <f t="shared" si="0"/>
        <v>172.29.10.69</v>
      </c>
      <c r="M59" s="48">
        <f t="shared" si="9"/>
        <v>38514</v>
      </c>
      <c r="N59" s="32" t="str">
        <f t="shared" si="1"/>
        <v>172.29.10.70</v>
      </c>
      <c r="O59" s="50">
        <f t="shared" si="8"/>
        <v>48514</v>
      </c>
      <c r="P59" s="32" t="s">
        <v>94</v>
      </c>
      <c r="Q59" s="36" t="s">
        <v>96</v>
      </c>
      <c r="R59" s="3" t="str">
        <f t="shared" si="6"/>
        <v>"8":{"type":"con","dst_persist":"n","src":{"38514":{"raddr":"172.29.10.69:0","mhdr":"BHb2","name":"NODO-01"},"48514":{"raddr":"172.29.10.70:0","mhdr":"BHb2","name":"NODO-02"}},"dst":{"mode":"client","raddr":"172.19.211.103:8504","mhdr":"BHb2","name":"MPOS Verifone Out 4"},"plugin": {"file":"slb_plugin_rm_biciso.so","type":"RM","args": {"nodrop":"n"}}}}},</v>
      </c>
    </row>
    <row r="60" spans="1:18" ht="15" thickBot="1">
      <c r="A60" s="47">
        <v>14</v>
      </c>
      <c r="B60" s="23" t="s">
        <v>1448</v>
      </c>
      <c r="C60" s="23"/>
      <c r="D60" s="29">
        <v>1</v>
      </c>
      <c r="E60" s="29"/>
      <c r="F60" s="29" t="s">
        <v>8</v>
      </c>
      <c r="G60" s="29" t="s">
        <v>1452</v>
      </c>
      <c r="H60" s="29" t="s">
        <v>55</v>
      </c>
      <c r="I60" s="29"/>
      <c r="J60" s="29">
        <v>3542</v>
      </c>
      <c r="K60" s="32" t="s">
        <v>55</v>
      </c>
      <c r="L60" s="32" t="str">
        <f t="shared" si="0"/>
        <v>172.29.10.69</v>
      </c>
      <c r="M60" s="32">
        <v>33479</v>
      </c>
      <c r="N60" s="32" t="str">
        <f t="shared" si="1"/>
        <v>172.29.10.70</v>
      </c>
      <c r="O60" s="32">
        <f t="shared" si="8"/>
        <v>43479</v>
      </c>
      <c r="P60" s="32" t="s">
        <v>94</v>
      </c>
      <c r="Q60" s="49" t="s">
        <v>95</v>
      </c>
      <c r="R60" s="3" t="str">
        <f t="shared" si="6"/>
        <v>"14":{"rules":{"1":{"type":"con","dst_persist":"n","src":{"33479":{"raddr":"172.29.10.69:0","mhdr":"BHb2","name":"NODO-01"},"43479":{"raddr":"172.29.10.70:0","mhdr":"BHb2","name":"NODO-02"}},"dst":{"mode":"server","raddr":"10.1.5.72:0","lport":"3542 BHb2","name":"Ipay In 1"},"plugin": {"file":"slb_plugin_rm_biciso.so","type":"RM","args": {"nodrop":"n"}}},</v>
      </c>
    </row>
    <row r="61" spans="1:18" ht="15" thickBot="1">
      <c r="A61" s="30"/>
      <c r="B61" s="23" t="s">
        <v>1449</v>
      </c>
      <c r="C61" s="7"/>
      <c r="D61" s="8">
        <v>2</v>
      </c>
      <c r="E61" s="8"/>
      <c r="F61" s="8" t="s">
        <v>8</v>
      </c>
      <c r="G61" s="8" t="s">
        <v>1452</v>
      </c>
      <c r="H61" s="8" t="s">
        <v>55</v>
      </c>
      <c r="I61" s="8"/>
      <c r="J61" s="8">
        <v>3543</v>
      </c>
      <c r="K61" s="33" t="s">
        <v>55</v>
      </c>
      <c r="L61" s="32" t="str">
        <f t="shared" si="0"/>
        <v>172.29.10.69</v>
      </c>
      <c r="M61" s="33">
        <v>33480</v>
      </c>
      <c r="N61" s="32" t="str">
        <f t="shared" si="1"/>
        <v>172.29.10.70</v>
      </c>
      <c r="O61" s="33">
        <f t="shared" si="8"/>
        <v>43480</v>
      </c>
      <c r="P61" s="33" t="s">
        <v>94</v>
      </c>
      <c r="Q61" s="34" t="s">
        <v>95</v>
      </c>
      <c r="R61" s="3" t="str">
        <f t="shared" si="6"/>
        <v>"2":{"type":"con","dst_persist":"n","src":{"33480":{"raddr":"172.29.10.69:0","mhdr":"BHb2","name":"NODO-01"},"43480":{"raddr":"172.29.10.70:0","mhdr":"BHb2","name":"NODO-02"}},"dst":{"mode":"server","raddr":"10.1.5.72:0","lport":"3543 BHb2","name":"Ipay In 2"},"plugin": {"file":"slb_plugin_rm_biciso.so","type":"RM","args": {"nodrop":"n"}}},</v>
      </c>
    </row>
    <row r="62" spans="1:18" ht="15" thickBot="1">
      <c r="A62" s="30"/>
      <c r="B62" s="23" t="s">
        <v>1450</v>
      </c>
      <c r="C62" s="7"/>
      <c r="D62" s="8">
        <v>3</v>
      </c>
      <c r="E62" s="8"/>
      <c r="F62" s="8" t="s">
        <v>14</v>
      </c>
      <c r="G62" s="8"/>
      <c r="H62" s="8" t="s">
        <v>55</v>
      </c>
      <c r="I62" s="8" t="s">
        <v>242</v>
      </c>
      <c r="J62" s="8">
        <v>3542</v>
      </c>
      <c r="K62" s="33" t="s">
        <v>55</v>
      </c>
      <c r="L62" s="32" t="str">
        <f t="shared" si="0"/>
        <v>172.29.10.69</v>
      </c>
      <c r="M62" s="33">
        <v>33544</v>
      </c>
      <c r="N62" s="32" t="str">
        <f t="shared" si="1"/>
        <v>172.29.10.70</v>
      </c>
      <c r="O62" s="33">
        <f t="shared" si="8"/>
        <v>43544</v>
      </c>
      <c r="P62" s="33" t="s">
        <v>94</v>
      </c>
      <c r="Q62" s="34" t="s">
        <v>95</v>
      </c>
      <c r="R62" s="3" t="str">
        <f t="shared" si="6"/>
        <v>"3":{"type":"con","dst_persist":"n","src":{"33544":{"raddr":"172.29.10.69:0","mhdr":"BHb2","name":"NODO-01"},"43544":{"raddr":"172.29.10.70:0","mhdr":"BHb2","name":"NODO-02"}},"dst":{"mode":"client","raddr":"172.19.211.103:3542","mhdr":"BHb2","name":"Ipay Out 1"},"plugin": {"file":"slb_plugin_rm_biciso.so","type":"RM","args": {"nodrop":"n"}}},</v>
      </c>
    </row>
    <row r="63" spans="1:18" ht="15" thickBot="1">
      <c r="A63" s="40"/>
      <c r="B63" s="23" t="s">
        <v>1451</v>
      </c>
      <c r="C63" s="16"/>
      <c r="D63" s="17">
        <v>4</v>
      </c>
      <c r="E63" s="17"/>
      <c r="F63" s="17" t="s">
        <v>14</v>
      </c>
      <c r="G63" s="17"/>
      <c r="H63" s="17" t="s">
        <v>55</v>
      </c>
      <c r="I63" s="17" t="s">
        <v>242</v>
      </c>
      <c r="J63" s="17">
        <v>3543</v>
      </c>
      <c r="K63" s="35" t="s">
        <v>55</v>
      </c>
      <c r="L63" s="32" t="str">
        <f t="shared" si="0"/>
        <v>172.29.10.69</v>
      </c>
      <c r="M63" s="35">
        <v>33545</v>
      </c>
      <c r="N63" s="32" t="str">
        <f t="shared" si="1"/>
        <v>172.29.10.70</v>
      </c>
      <c r="O63" s="35">
        <f t="shared" si="8"/>
        <v>43545</v>
      </c>
      <c r="P63" s="35" t="s">
        <v>94</v>
      </c>
      <c r="Q63" s="36" t="s">
        <v>96</v>
      </c>
      <c r="R63" s="3" t="str">
        <f t="shared" si="6"/>
        <v>"4":{"type":"con","dst_persist":"n","src":{"33545":{"raddr":"172.29.10.69:0","mhdr":"BHb2","name":"NODO-01"},"43545":{"raddr":"172.29.10.70:0","mhdr":"BHb2","name":"NODO-02"}},"dst":{"mode":"client","raddr":"172.19.211.103:3543","mhdr":"BHb2","name":"Ipay Out 2"},"plugin": {"file":"slb_plugin_rm_biciso.so","type":"RM","args": {"nodrop":"n"}}}}},</v>
      </c>
    </row>
    <row r="64" spans="1:18" ht="15" thickBot="1">
      <c r="A64" s="47">
        <v>15</v>
      </c>
      <c r="B64" s="23" t="s">
        <v>1453</v>
      </c>
      <c r="C64" s="23"/>
      <c r="D64" s="29">
        <v>1</v>
      </c>
      <c r="E64" s="29"/>
      <c r="F64" s="29" t="s">
        <v>8</v>
      </c>
      <c r="G64" s="29" t="s">
        <v>1457</v>
      </c>
      <c r="H64" s="29" t="s">
        <v>55</v>
      </c>
      <c r="I64" s="29"/>
      <c r="J64" s="29">
        <v>2226</v>
      </c>
      <c r="K64" s="32" t="s">
        <v>55</v>
      </c>
      <c r="L64" s="32" t="str">
        <f t="shared" si="0"/>
        <v>172.29.10.69</v>
      </c>
      <c r="M64" s="32">
        <v>35216</v>
      </c>
      <c r="N64" s="32" t="str">
        <f t="shared" si="1"/>
        <v>172.29.10.70</v>
      </c>
      <c r="O64" s="32">
        <f t="shared" si="8"/>
        <v>45216</v>
      </c>
      <c r="P64" s="32" t="s">
        <v>94</v>
      </c>
      <c r="Q64" s="49" t="s">
        <v>95</v>
      </c>
      <c r="R64" s="3" t="str">
        <f t="shared" si="6"/>
        <v>"15":{"rules":{"1":{"type":"con","dst_persist":"n","src":{"35216":{"raddr":"172.29.10.69:0","mhdr":"BHb2","name":"NODO-01"},"45216":{"raddr":"172.29.10.70:0","mhdr":"BHb2","name":"NODO-02"}},"dst":{"mode":"server","raddr":"10.1.5.71:0","lport":"2226 BHb2","name":"Aviatur In 1"},"plugin": {"file":"slb_plugin_rm_biciso.so","type":"RM","args": {"nodrop":"n"}}},</v>
      </c>
    </row>
    <row r="65" spans="1:18" ht="15" thickBot="1">
      <c r="A65" s="30"/>
      <c r="B65" s="23" t="s">
        <v>1454</v>
      </c>
      <c r="C65" s="7"/>
      <c r="D65" s="8">
        <v>2</v>
      </c>
      <c r="E65" s="8"/>
      <c r="F65" s="8" t="s">
        <v>8</v>
      </c>
      <c r="G65" s="8" t="s">
        <v>1457</v>
      </c>
      <c r="H65" s="8" t="s">
        <v>55</v>
      </c>
      <c r="I65" s="8"/>
      <c r="J65" s="8">
        <v>3226</v>
      </c>
      <c r="K65" s="33" t="s">
        <v>55</v>
      </c>
      <c r="L65" s="32" t="str">
        <f t="shared" si="0"/>
        <v>172.29.10.69</v>
      </c>
      <c r="M65" s="33">
        <v>35217</v>
      </c>
      <c r="N65" s="32" t="str">
        <f t="shared" si="1"/>
        <v>172.29.10.70</v>
      </c>
      <c r="O65" s="33">
        <f t="shared" si="8"/>
        <v>45217</v>
      </c>
      <c r="P65" s="33" t="s">
        <v>94</v>
      </c>
      <c r="Q65" s="34" t="s">
        <v>95</v>
      </c>
      <c r="R65" s="3" t="str">
        <f t="shared" si="6"/>
        <v>"2":{"type":"con","dst_persist":"n","src":{"35217":{"raddr":"172.29.10.69:0","mhdr":"BHb2","name":"NODO-01"},"45217":{"raddr":"172.29.10.70:0","mhdr":"BHb2","name":"NODO-02"}},"dst":{"mode":"server","raddr":"10.1.5.71:0","lport":"3226 BHb2","name":"Aviatur In 2"},"plugin": {"file":"slb_plugin_rm_biciso.so","type":"RM","args": {"nodrop":"n"}}},</v>
      </c>
    </row>
    <row r="66" spans="1:18" ht="15" thickBot="1">
      <c r="A66" s="30"/>
      <c r="B66" s="23" t="s">
        <v>1455</v>
      </c>
      <c r="C66" s="7"/>
      <c r="D66" s="8">
        <v>3</v>
      </c>
      <c r="E66" s="8"/>
      <c r="F66" s="8" t="s">
        <v>14</v>
      </c>
      <c r="G66" s="8"/>
      <c r="H66" s="8" t="s">
        <v>55</v>
      </c>
      <c r="I66" s="8" t="s">
        <v>242</v>
      </c>
      <c r="J66" s="8">
        <v>2226</v>
      </c>
      <c r="K66" s="33" t="s">
        <v>55</v>
      </c>
      <c r="L66" s="32" t="str">
        <f t="shared" si="0"/>
        <v>172.29.10.69</v>
      </c>
      <c r="M66" s="33">
        <v>35226</v>
      </c>
      <c r="N66" s="32" t="str">
        <f t="shared" si="1"/>
        <v>172.29.10.70</v>
      </c>
      <c r="O66" s="33">
        <f t="shared" si="8"/>
        <v>45226</v>
      </c>
      <c r="P66" s="33" t="s">
        <v>94</v>
      </c>
      <c r="Q66" s="34" t="s">
        <v>95</v>
      </c>
      <c r="R66" s="3" t="str">
        <f t="shared" si="6"/>
        <v>"3":{"type":"con","dst_persist":"n","src":{"35226":{"raddr":"172.29.10.69:0","mhdr":"BHb2","name":"NODO-01"},"45226":{"raddr":"172.29.10.70:0","mhdr":"BHb2","name":"NODO-02"}},"dst":{"mode":"client","raddr":"172.19.211.103:2226","mhdr":"BHb2","name":"Aviatur Out 1"},"plugin": {"file":"slb_plugin_rm_biciso.so","type":"RM","args": {"nodrop":"n"}}},</v>
      </c>
    </row>
    <row r="67" spans="1:18" ht="15" thickBot="1">
      <c r="A67" s="40"/>
      <c r="B67" s="23" t="s">
        <v>1456</v>
      </c>
      <c r="C67" s="16"/>
      <c r="D67" s="17">
        <v>4</v>
      </c>
      <c r="E67" s="17"/>
      <c r="F67" s="17" t="s">
        <v>14</v>
      </c>
      <c r="G67" s="17"/>
      <c r="H67" s="17" t="s">
        <v>55</v>
      </c>
      <c r="I67" s="17" t="s">
        <v>242</v>
      </c>
      <c r="J67" s="17">
        <v>3226</v>
      </c>
      <c r="K67" s="35" t="s">
        <v>55</v>
      </c>
      <c r="L67" s="32" t="str">
        <f t="shared" si="0"/>
        <v>172.29.10.69</v>
      </c>
      <c r="M67" s="35">
        <v>35227</v>
      </c>
      <c r="N67" s="32" t="str">
        <f t="shared" si="1"/>
        <v>172.29.10.70</v>
      </c>
      <c r="O67" s="35">
        <f t="shared" si="8"/>
        <v>45227</v>
      </c>
      <c r="P67" s="35" t="s">
        <v>94</v>
      </c>
      <c r="Q67" s="36" t="s">
        <v>96</v>
      </c>
      <c r="R67" s="3" t="str">
        <f t="shared" si="6"/>
        <v>"4":{"type":"con","dst_persist":"n","src":{"35227":{"raddr":"172.29.10.69:0","mhdr":"BHb2","name":"NODO-01"},"45227":{"raddr":"172.29.10.70:0","mhdr":"BHb2","name":"NODO-02"}},"dst":{"mode":"client","raddr":"172.19.211.103:3226","mhdr":"BHb2","name":"Aviatur Out 2"},"plugin": {"file":"slb_plugin_rm_biciso.so","type":"RM","args": {"nodrop":"n"}}}}},</v>
      </c>
    </row>
    <row r="68" spans="1:18" ht="15" thickBot="1">
      <c r="A68" s="74">
        <v>16</v>
      </c>
      <c r="B68" s="75" t="s">
        <v>198</v>
      </c>
      <c r="C68" s="75" t="s">
        <v>497</v>
      </c>
      <c r="D68" s="73">
        <v>1</v>
      </c>
      <c r="E68" s="76" t="s">
        <v>337</v>
      </c>
      <c r="F68" s="73" t="s">
        <v>14</v>
      </c>
      <c r="G68" s="32" t="str">
        <f>+$B$3</f>
        <v>172.29.10.69</v>
      </c>
      <c r="H68" s="73" t="s">
        <v>437</v>
      </c>
      <c r="J68" s="73">
        <v>55218</v>
      </c>
      <c r="K68" s="32" t="s">
        <v>437</v>
      </c>
      <c r="L68" s="73" t="s">
        <v>236</v>
      </c>
      <c r="M68" s="73">
        <v>5218</v>
      </c>
      <c r="N68" s="73" t="s">
        <v>236</v>
      </c>
      <c r="O68" s="73">
        <v>5219</v>
      </c>
      <c r="P68" s="32" t="s">
        <v>94</v>
      </c>
      <c r="Q68" s="49" t="s">
        <v>95</v>
      </c>
      <c r="R68" s="127" t="str">
        <f>CONCATENATE(IF(A68&lt;&gt;"",CONCATENATE("""",A68,"""",":{","""","rules","""",":{"),""),"""",D68,""":{""type"":""con"",""dst_persist"":""n"",""src"":{""",M68,""":{""raddr"":""",L68,":0"",""mhdr"":""",K68,""",","""name""",":","""NODO-01","""},""",O68,""":{""raddr"":""",N68,":0"",""mhdr"":""",K68,""",","""name""",":","""NODO-02","""}},","""dst"":{""mode"":""",F68,""",""raddr"":""",IF(F68="server",#REF!,G68),":",IF(F68="server",0,J68),""",""",IF(F68="server","lport","mhdr"),""":""",IF(F68="server",J68,""),IF(F68="server"," ",""),K68,""",","""name""",":","""",B68,IF(P68&lt;&gt;"",CONCATENATE("""},","""plugin""",": {","""file""",":""",P68,""",","""type""",":","""","RM""",",","""args""",": {","""nodrop""",":","""n""","}")),Q68)</f>
        <v>"16":{"rules":{"1":{"type":"con","dst_persist":"n","src":{"5218":{"raddr":"172.19.211.102:0","mhdr":"iBHb2","name":"NODO-01"},"5219":{"raddr":"172.19.211.102:0","mhdr":"iBHb2","name":"NODO-02"}},"dst":{"mode":"client","raddr":"172.29.10.69:55218","mhdr":"iBHb2","name":"PRM Proceso 1"},"plugin": {"file":"slb_plugin_rm_biciso.so","type":"RM","args": {"nodrop":"n"}}},</v>
      </c>
    </row>
    <row r="69" spans="1:18" ht="15" thickBot="1">
      <c r="A69" s="77"/>
      <c r="B69" s="78" t="s">
        <v>199</v>
      </c>
      <c r="C69" s="78" t="s">
        <v>497</v>
      </c>
      <c r="D69" s="72">
        <v>2</v>
      </c>
      <c r="E69" s="79" t="s">
        <v>338</v>
      </c>
      <c r="F69" s="72" t="s">
        <v>14</v>
      </c>
      <c r="G69" s="32" t="str">
        <f>+$B$4</f>
        <v>172.29.10.70</v>
      </c>
      <c r="H69" s="72" t="s">
        <v>437</v>
      </c>
      <c r="J69" s="72">
        <v>25218</v>
      </c>
      <c r="K69" s="35" t="s">
        <v>437</v>
      </c>
      <c r="L69" s="72" t="s">
        <v>236</v>
      </c>
      <c r="M69" s="72">
        <v>5220</v>
      </c>
      <c r="N69" s="73" t="s">
        <v>236</v>
      </c>
      <c r="O69" s="72">
        <v>5221</v>
      </c>
      <c r="P69" s="35" t="s">
        <v>94</v>
      </c>
      <c r="Q69" s="36" t="s">
        <v>96</v>
      </c>
      <c r="R69" s="127" t="str">
        <f>CONCATENATE(IF(A69&lt;&gt;"",CONCATENATE("""",A69,"""",":{","""","rules","""",":{"),""),"""",D69,""":{""type"":""con"",""dst_persist"":""n"",""src"":{""",M69,""":{""raddr"":""",L69,":0"",""mhdr"":""",K69,""",","""name""",":","""NODO-01","""},""",O69,""":{""raddr"":""",N69,":0"",""mhdr"":""",K69,""",","""name""",":","""NODO-02","""}},","""dst"":{""mode"":""",F69,""",""raddr"":""",IF(F69="server",#REF!,G69),":",IF(F69="server",0,J69),""",""",IF(F69="server","lport","mhdr"),""":""",IF(F69="server",J69,""),IF(F69="server"," ",""),K69,""",","""name""",":","""",B69,IF(P69&lt;&gt;"",CONCATENATE("""},","""plugin""",": {","""file""",":""",P69,""",","""type""",":","""","RM""",",","""args""",": {","""nodrop""",":","""n""","}")),Q69)</f>
        <v>"2":{"type":"con","dst_persist":"n","src":{"5220":{"raddr":"172.19.211.102:0","mhdr":"iBHb2","name":"NODO-01"},"5221":{"raddr":"172.19.211.102:0","mhdr":"iBHb2","name":"NODO-02"}},"dst":{"mode":"client","raddr":"172.29.10.70:25218","mhdr":"iBHb2","name":"PRM Proceso 2"},"plugin": {"file":"slb_plugin_rm_biciso.so","type":"RM","args": {"nodrop":"n"}}}}},</v>
      </c>
    </row>
    <row r="70" spans="1:18" ht="15" thickBot="1">
      <c r="A70" s="47">
        <v>17</v>
      </c>
      <c r="B70" s="23" t="s">
        <v>1458</v>
      </c>
      <c r="C70" s="23"/>
      <c r="D70" s="11">
        <v>1</v>
      </c>
      <c r="E70" s="11"/>
      <c r="F70" s="11" t="s">
        <v>8</v>
      </c>
      <c r="G70" s="11" t="s">
        <v>1466</v>
      </c>
      <c r="H70" s="11" t="s">
        <v>437</v>
      </c>
      <c r="I70" s="11"/>
      <c r="J70" s="11">
        <v>2051</v>
      </c>
      <c r="K70" s="32" t="s">
        <v>437</v>
      </c>
      <c r="L70" s="32" t="str">
        <f t="shared" ref="L70:L117" si="10">$B$3</f>
        <v>172.29.10.69</v>
      </c>
      <c r="M70" s="32">
        <f>J70+30000</f>
        <v>32051</v>
      </c>
      <c r="N70" s="32" t="str">
        <f t="shared" ref="N70:N117" si="11">$B$4</f>
        <v>172.29.10.70</v>
      </c>
      <c r="O70" s="32">
        <f t="shared" ref="O70:O73" si="12">+M70+10000</f>
        <v>42051</v>
      </c>
      <c r="P70" s="35" t="s">
        <v>94</v>
      </c>
      <c r="Q70" s="49" t="s">
        <v>95</v>
      </c>
      <c r="R70" s="3" t="str">
        <f>CONCATENATE(IF(A70&lt;&gt;"",CONCATENATE("""",A70,"""",":{","""","rules","""",":{"),""),"""",D70,""":{""type"":""con"",""dst_persist"":""n"",""src"":{""",M70,""":{""raddr"":""",L70,":0"",""mhdr"":""",K70,""",","""name""",":","""NODO-01","""},""",O70,""":{""raddr"":""",N70,":0"",""mhdr"":""",K70,""",","""name""",":","""NODO-02","""}},","""dst"":{""mode"":""",F70,""",""raddr"":""",IF(F70="server",G70,I70),":",IF(F70="server",0,J70),""",""",IF(F70="server","lport","mhdr"),""":""",IF(F70="server",J70,""),IF(F70="server"," ",""),K70,""",","""name""",":","""",B70,IF(P70&lt;&gt;"",CONCATENATE("""},","""plugin""",": {","""file""",":""",P70,""",","""type""",":","""","RM""",",","""args""",": {","""nodrop""",":","""n""","}")),Q70)</f>
        <v>"17":{"rules":{"1":{"type":"con","dst_persist":"n","src":{"32051":{"raddr":"172.29.10.69:0","mhdr":"iBHb2","name":"NODO-01"},"42051":{"raddr":"172.29.10.70:0","mhdr":"iBHb2","name":"NODO-02"}},"dst":{"mode":"server","raddr":"10.2.34.30:0","lport":"2051 iBHb2","name":"Davivienda In 1"},"plugin": {"file":"slb_plugin_rm_biciso.so","type":"RM","args": {"nodrop":"n"}}},</v>
      </c>
    </row>
    <row r="71" spans="1:18" ht="15" thickBot="1">
      <c r="A71" s="30"/>
      <c r="B71" s="7" t="s">
        <v>1459</v>
      </c>
      <c r="C71" s="7"/>
      <c r="D71" s="6">
        <v>2</v>
      </c>
      <c r="E71" s="6"/>
      <c r="F71" s="6" t="s">
        <v>8</v>
      </c>
      <c r="G71" s="6" t="s">
        <v>1466</v>
      </c>
      <c r="H71" s="6" t="s">
        <v>437</v>
      </c>
      <c r="I71" s="6"/>
      <c r="J71" s="6">
        <v>3051</v>
      </c>
      <c r="K71" s="33" t="s">
        <v>437</v>
      </c>
      <c r="L71" s="32" t="str">
        <f t="shared" si="10"/>
        <v>172.29.10.69</v>
      </c>
      <c r="M71" s="32">
        <f t="shared" ref="M71:M73" si="13">J71+30000</f>
        <v>33051</v>
      </c>
      <c r="N71" s="32" t="str">
        <f t="shared" si="11"/>
        <v>172.29.10.70</v>
      </c>
      <c r="O71" s="33">
        <f t="shared" si="12"/>
        <v>43051</v>
      </c>
      <c r="P71" s="35" t="s">
        <v>94</v>
      </c>
      <c r="Q71" s="34" t="s">
        <v>95</v>
      </c>
      <c r="R71" s="3" t="str">
        <f t="shared" ref="R71:R121" si="14">CONCATENATE(IF(A71&lt;&gt;"",CONCATENATE("""",A71,"""",":{","""","rules","""",":{"),""),"""",D71,""":{""type"":""con"",""dst_persist"":""n"",""src"":{""",M71,""":{""raddr"":""",L71,":0"",""mhdr"":""",K71,""",","""name""",":","""NODO-01","""},""",O71,""":{""raddr"":""",N71,":0"",""mhdr"":""",K71,""",","""name""",":","""NODO-02","""}},","""dst"":{""mode"":""",F71,""",""raddr"":""",IF(F71="server",G71,I71),":",IF(F71="server",0,J71),""",""",IF(F71="server","lport","mhdr"),""":""",IF(F71="server",J71,""),IF(F71="server"," ",""),K71,""",","""name""",":","""",B71,IF(P71&lt;&gt;"",CONCATENATE("""},","""plugin""",": {","""file""",":""",P71,""",","""type""",":","""","RM""",",","""args""",": {","""nodrop""",":","""n""","}")),Q71)</f>
        <v>"2":{"type":"con","dst_persist":"n","src":{"33051":{"raddr":"172.29.10.69:0","mhdr":"iBHb2","name":"NODO-01"},"43051":{"raddr":"172.29.10.70:0","mhdr":"iBHb2","name":"NODO-02"}},"dst":{"mode":"server","raddr":"10.2.34.30:0","lport":"3051 iBHb2","name":"Davivienda In 2"},"plugin": {"file":"slb_plugin_rm_biciso.so","type":"RM","args": {"nodrop":"n"}}},</v>
      </c>
    </row>
    <row r="72" spans="1:18" ht="15" thickBot="1">
      <c r="A72" s="30"/>
      <c r="B72" s="23" t="s">
        <v>1460</v>
      </c>
      <c r="C72" s="7"/>
      <c r="D72" s="8">
        <v>3</v>
      </c>
      <c r="E72" s="8"/>
      <c r="F72" s="8" t="s">
        <v>8</v>
      </c>
      <c r="G72" s="6" t="s">
        <v>1466</v>
      </c>
      <c r="H72" s="6" t="s">
        <v>437</v>
      </c>
      <c r="I72" s="8"/>
      <c r="J72" s="8">
        <v>4051</v>
      </c>
      <c r="K72" s="33" t="s">
        <v>437</v>
      </c>
      <c r="L72" s="32" t="str">
        <f t="shared" si="10"/>
        <v>172.29.10.69</v>
      </c>
      <c r="M72" s="32">
        <f t="shared" si="13"/>
        <v>34051</v>
      </c>
      <c r="N72" s="32" t="str">
        <f t="shared" si="11"/>
        <v>172.29.10.70</v>
      </c>
      <c r="O72" s="33">
        <f t="shared" si="12"/>
        <v>44051</v>
      </c>
      <c r="P72" s="35" t="s">
        <v>94</v>
      </c>
      <c r="Q72" s="34" t="s">
        <v>95</v>
      </c>
      <c r="R72" s="3" t="str">
        <f t="shared" si="14"/>
        <v>"3":{"type":"con","dst_persist":"n","src":{"34051":{"raddr":"172.29.10.69:0","mhdr":"iBHb2","name":"NODO-01"},"44051":{"raddr":"172.29.10.70:0","mhdr":"iBHb2","name":"NODO-02"}},"dst":{"mode":"server","raddr":"10.2.34.30:0","lport":"4051 iBHb2","name":"Davivienda In 3"},"plugin": {"file":"slb_plugin_rm_biciso.so","type":"RM","args": {"nodrop":"n"}}},</v>
      </c>
    </row>
    <row r="73" spans="1:18" ht="15" thickBot="1">
      <c r="A73" s="30"/>
      <c r="B73" s="7" t="s">
        <v>1461</v>
      </c>
      <c r="C73" s="7"/>
      <c r="D73" s="8">
        <v>4</v>
      </c>
      <c r="E73" s="8"/>
      <c r="F73" s="8" t="s">
        <v>8</v>
      </c>
      <c r="G73" s="6" t="s">
        <v>1466</v>
      </c>
      <c r="H73" s="6" t="s">
        <v>437</v>
      </c>
      <c r="I73" s="8"/>
      <c r="J73" s="8">
        <v>5051</v>
      </c>
      <c r="K73" s="33" t="s">
        <v>437</v>
      </c>
      <c r="L73" s="32" t="str">
        <f t="shared" si="10"/>
        <v>172.29.10.69</v>
      </c>
      <c r="M73" s="32">
        <f t="shared" si="13"/>
        <v>35051</v>
      </c>
      <c r="N73" s="32" t="str">
        <f t="shared" si="11"/>
        <v>172.29.10.70</v>
      </c>
      <c r="O73" s="33">
        <f t="shared" si="12"/>
        <v>45051</v>
      </c>
      <c r="P73" s="35" t="s">
        <v>94</v>
      </c>
      <c r="Q73" s="34" t="s">
        <v>95</v>
      </c>
      <c r="R73" s="3" t="str">
        <f t="shared" si="14"/>
        <v>"4":{"type":"con","dst_persist":"n","src":{"35051":{"raddr":"172.29.10.69:0","mhdr":"iBHb2","name":"NODO-01"},"45051":{"raddr":"172.29.10.70:0","mhdr":"iBHb2","name":"NODO-02"}},"dst":{"mode":"server","raddr":"10.2.34.30:0","lport":"5051 iBHb2","name":"Davivienda In 4"},"plugin": {"file":"slb_plugin_rm_biciso.so","type":"RM","args": {"nodrop":"n"}}},</v>
      </c>
    </row>
    <row r="74" spans="1:18" ht="15" thickBot="1">
      <c r="A74" s="30"/>
      <c r="B74" s="23" t="s">
        <v>1462</v>
      </c>
      <c r="C74" s="7"/>
      <c r="D74" s="8">
        <v>5</v>
      </c>
      <c r="E74" s="8"/>
      <c r="F74" s="8" t="s">
        <v>14</v>
      </c>
      <c r="G74" s="8"/>
      <c r="H74" s="8" t="s">
        <v>437</v>
      </c>
      <c r="I74" s="8" t="s">
        <v>231</v>
      </c>
      <c r="J74" s="11">
        <v>2051</v>
      </c>
      <c r="K74" s="33" t="s">
        <v>437</v>
      </c>
      <c r="L74" s="32" t="str">
        <f t="shared" si="10"/>
        <v>172.29.10.69</v>
      </c>
      <c r="M74" s="33">
        <f>J74+50000</f>
        <v>52051</v>
      </c>
      <c r="N74" s="32" t="str">
        <f t="shared" si="11"/>
        <v>172.29.10.70</v>
      </c>
      <c r="O74" s="33">
        <f>+M74-30000</f>
        <v>22051</v>
      </c>
      <c r="P74" s="35" t="s">
        <v>94</v>
      </c>
      <c r="Q74" s="34" t="s">
        <v>95</v>
      </c>
      <c r="R74" s="3" t="str">
        <f t="shared" si="14"/>
        <v>"5":{"type":"con","dst_persist":"n","src":{"52051":{"raddr":"172.29.10.69:0","mhdr":"iBHb2","name":"NODO-01"},"22051":{"raddr":"172.29.10.70:0","mhdr":"iBHb2","name":"NODO-02"}},"dst":{"mode":"client","raddr":"172.19.211.101:2051","mhdr":"iBHb2","name":"Davivienda Out 1"},"plugin": {"file":"slb_plugin_rm_biciso.so","type":"RM","args": {"nodrop":"n"}}},</v>
      </c>
    </row>
    <row r="75" spans="1:18" ht="15" thickBot="1">
      <c r="A75" s="30"/>
      <c r="B75" s="7" t="s">
        <v>1463</v>
      </c>
      <c r="C75" s="7"/>
      <c r="D75" s="8">
        <v>6</v>
      </c>
      <c r="E75" s="8"/>
      <c r="F75" s="8" t="s">
        <v>14</v>
      </c>
      <c r="G75" s="8"/>
      <c r="H75" s="8" t="s">
        <v>437</v>
      </c>
      <c r="I75" s="8" t="s">
        <v>231</v>
      </c>
      <c r="J75" s="6">
        <v>3051</v>
      </c>
      <c r="K75" s="33" t="s">
        <v>437</v>
      </c>
      <c r="L75" s="32" t="str">
        <f t="shared" si="10"/>
        <v>172.29.10.69</v>
      </c>
      <c r="M75" s="33">
        <f t="shared" ref="M75:M77" si="15">J75+50000</f>
        <v>53051</v>
      </c>
      <c r="N75" s="32" t="str">
        <f t="shared" si="11"/>
        <v>172.29.10.70</v>
      </c>
      <c r="O75" s="33">
        <f t="shared" ref="O75:O77" si="16">+M75-30000</f>
        <v>23051</v>
      </c>
      <c r="P75" s="35" t="s">
        <v>94</v>
      </c>
      <c r="Q75" s="34" t="s">
        <v>95</v>
      </c>
      <c r="R75" s="3" t="str">
        <f t="shared" si="14"/>
        <v>"6":{"type":"con","dst_persist":"n","src":{"53051":{"raddr":"172.29.10.69:0","mhdr":"iBHb2","name":"NODO-01"},"23051":{"raddr":"172.29.10.70:0","mhdr":"iBHb2","name":"NODO-02"}},"dst":{"mode":"client","raddr":"172.19.211.101:3051","mhdr":"iBHb2","name":"Davivienda Out 2"},"plugin": {"file":"slb_plugin_rm_biciso.so","type":"RM","args": {"nodrop":"n"}}},</v>
      </c>
    </row>
    <row r="76" spans="1:18" ht="15" thickBot="1">
      <c r="A76" s="30"/>
      <c r="B76" s="23" t="s">
        <v>1464</v>
      </c>
      <c r="C76" s="7"/>
      <c r="D76" s="8">
        <v>7</v>
      </c>
      <c r="E76" s="8"/>
      <c r="F76" s="8" t="s">
        <v>14</v>
      </c>
      <c r="G76" s="8"/>
      <c r="H76" s="8" t="s">
        <v>437</v>
      </c>
      <c r="I76" s="8" t="s">
        <v>231</v>
      </c>
      <c r="J76" s="8">
        <v>4051</v>
      </c>
      <c r="K76" s="33" t="s">
        <v>437</v>
      </c>
      <c r="L76" s="32" t="str">
        <f t="shared" si="10"/>
        <v>172.29.10.69</v>
      </c>
      <c r="M76" s="33">
        <f t="shared" si="15"/>
        <v>54051</v>
      </c>
      <c r="N76" s="32" t="str">
        <f t="shared" si="11"/>
        <v>172.29.10.70</v>
      </c>
      <c r="O76" s="33">
        <f t="shared" si="16"/>
        <v>24051</v>
      </c>
      <c r="P76" s="35" t="s">
        <v>94</v>
      </c>
      <c r="Q76" s="34" t="s">
        <v>95</v>
      </c>
      <c r="R76" s="3" t="str">
        <f t="shared" si="14"/>
        <v>"7":{"type":"con","dst_persist":"n","src":{"54051":{"raddr":"172.29.10.69:0","mhdr":"iBHb2","name":"NODO-01"},"24051":{"raddr":"172.29.10.70:0","mhdr":"iBHb2","name":"NODO-02"}},"dst":{"mode":"client","raddr":"172.19.211.101:4051","mhdr":"iBHb2","name":"Davivienda Out 3"},"plugin": {"file":"slb_plugin_rm_biciso.so","type":"RM","args": {"nodrop":"n"}}},</v>
      </c>
    </row>
    <row r="77" spans="1:18" ht="15" thickBot="1">
      <c r="A77" s="40"/>
      <c r="B77" s="7" t="s">
        <v>1465</v>
      </c>
      <c r="C77" s="16"/>
      <c r="D77" s="17">
        <v>8</v>
      </c>
      <c r="E77" s="17"/>
      <c r="F77" s="17" t="s">
        <v>14</v>
      </c>
      <c r="G77" s="17"/>
      <c r="H77" s="17" t="s">
        <v>437</v>
      </c>
      <c r="I77" s="17" t="s">
        <v>231</v>
      </c>
      <c r="J77" s="8">
        <v>5051</v>
      </c>
      <c r="K77" s="35" t="s">
        <v>437</v>
      </c>
      <c r="L77" s="32" t="str">
        <f t="shared" si="10"/>
        <v>172.29.10.69</v>
      </c>
      <c r="M77" s="33">
        <f t="shared" si="15"/>
        <v>55051</v>
      </c>
      <c r="N77" s="32" t="str">
        <f t="shared" si="11"/>
        <v>172.29.10.70</v>
      </c>
      <c r="O77" s="33">
        <f t="shared" si="16"/>
        <v>25051</v>
      </c>
      <c r="P77" s="35" t="s">
        <v>94</v>
      </c>
      <c r="Q77" s="36" t="s">
        <v>96</v>
      </c>
      <c r="R77" s="3" t="str">
        <f t="shared" si="14"/>
        <v>"8":{"type":"con","dst_persist":"n","src":{"55051":{"raddr":"172.29.10.69:0","mhdr":"iBHb2","name":"NODO-01"},"25051":{"raddr":"172.29.10.70:0","mhdr":"iBHb2","name":"NODO-02"}},"dst":{"mode":"client","raddr":"172.19.211.101:5051","mhdr":"iBHb2","name":"Davivienda Out 4"},"plugin": {"file":"slb_plugin_rm_biciso.so","type":"RM","args": {"nodrop":"n"}}}}},</v>
      </c>
    </row>
    <row r="78" spans="1:18" ht="15" thickBot="1">
      <c r="A78" s="47">
        <v>18</v>
      </c>
      <c r="B78" s="23" t="s">
        <v>1321</v>
      </c>
      <c r="C78" s="23"/>
      <c r="D78" s="29">
        <v>1</v>
      </c>
      <c r="E78" s="29"/>
      <c r="F78" s="29" t="s">
        <v>14</v>
      </c>
      <c r="G78" s="29"/>
      <c r="H78" s="29" t="s">
        <v>437</v>
      </c>
      <c r="I78" s="17" t="s">
        <v>236</v>
      </c>
      <c r="J78" s="29" t="s">
        <v>1285</v>
      </c>
      <c r="K78" s="32" t="s">
        <v>437</v>
      </c>
      <c r="L78" s="32" t="str">
        <f t="shared" si="10"/>
        <v>172.29.10.69</v>
      </c>
      <c r="M78" s="32">
        <f>J78+30000</f>
        <v>37601</v>
      </c>
      <c r="N78" s="32" t="str">
        <f t="shared" si="11"/>
        <v>172.29.10.70</v>
      </c>
      <c r="O78" s="32">
        <f t="shared" ref="O78:O115" si="17">+M78+10000</f>
        <v>47601</v>
      </c>
      <c r="P78" s="32" t="s">
        <v>94</v>
      </c>
      <c r="Q78" s="49" t="s">
        <v>95</v>
      </c>
      <c r="R78" s="3" t="str">
        <f t="shared" si="14"/>
        <v>"18":{"rules":{"1":{"type":"con","dst_persist":"n","src":{"37601":{"raddr":"172.29.10.69:0","mhdr":"iBHb2","name":"NODO-01"},"47601":{"raddr":"172.29.10.70:0","mhdr":"iBHb2","name":"NODO-02"}},"dst":{"mode":"client","raddr":"172.19.211.102:7601","mhdr":"iBHb2","name":"Base24-POS1-01"},"plugin": {"file":"slb_plugin_rm_biciso.so","type":"RM","args": {"nodrop":"n"}}},</v>
      </c>
    </row>
    <row r="79" spans="1:18" ht="15" thickBot="1">
      <c r="A79" s="40"/>
      <c r="B79" s="16" t="s">
        <v>1322</v>
      </c>
      <c r="C79" s="125"/>
      <c r="D79" s="29">
        <v>2</v>
      </c>
      <c r="E79" s="17"/>
      <c r="F79" s="17" t="s">
        <v>14</v>
      </c>
      <c r="G79" s="17"/>
      <c r="H79" s="17" t="s">
        <v>437</v>
      </c>
      <c r="I79" s="17" t="s">
        <v>242</v>
      </c>
      <c r="J79" s="29" t="s">
        <v>1286</v>
      </c>
      <c r="K79" s="35" t="s">
        <v>437</v>
      </c>
      <c r="L79" s="32" t="str">
        <f t="shared" si="10"/>
        <v>172.29.10.69</v>
      </c>
      <c r="M79" s="32">
        <f t="shared" ref="M79:M83" si="18">J79+30000</f>
        <v>37602</v>
      </c>
      <c r="N79" s="32" t="str">
        <f t="shared" si="11"/>
        <v>172.29.10.70</v>
      </c>
      <c r="O79" s="35">
        <f t="shared" si="17"/>
        <v>47602</v>
      </c>
      <c r="P79" s="35" t="s">
        <v>94</v>
      </c>
      <c r="Q79" s="36" t="s">
        <v>95</v>
      </c>
      <c r="R79" s="3" t="str">
        <f t="shared" si="14"/>
        <v>"2":{"type":"con","dst_persist":"n","src":{"37602":{"raddr":"172.29.10.69:0","mhdr":"iBHb2","name":"NODO-01"},"47602":{"raddr":"172.29.10.70:0","mhdr":"iBHb2","name":"NODO-02"}},"dst":{"mode":"client","raddr":"172.19.211.103:7602","mhdr":"iBHb2","name":"Base24-POS1-02"},"plugin": {"file":"slb_plugin_rm_biciso.so","type":"RM","args": {"nodrop":"n"}}},</v>
      </c>
    </row>
    <row r="80" spans="1:18" ht="15" thickBot="1">
      <c r="A80" s="47"/>
      <c r="B80" s="23" t="s">
        <v>1323</v>
      </c>
      <c r="C80" s="23"/>
      <c r="D80" s="29">
        <v>3</v>
      </c>
      <c r="E80" s="29"/>
      <c r="F80" s="29" t="s">
        <v>14</v>
      </c>
      <c r="G80" s="29"/>
      <c r="H80" s="29" t="s">
        <v>437</v>
      </c>
      <c r="I80" s="17" t="s">
        <v>242</v>
      </c>
      <c r="J80" s="29" t="s">
        <v>1287</v>
      </c>
      <c r="K80" s="32" t="s">
        <v>437</v>
      </c>
      <c r="L80" s="32" t="str">
        <f t="shared" si="10"/>
        <v>172.29.10.69</v>
      </c>
      <c r="M80" s="32">
        <f t="shared" si="18"/>
        <v>37603</v>
      </c>
      <c r="N80" s="32" t="str">
        <f t="shared" si="11"/>
        <v>172.29.10.70</v>
      </c>
      <c r="O80" s="32">
        <f t="shared" si="17"/>
        <v>47603</v>
      </c>
      <c r="P80" s="32" t="s">
        <v>94</v>
      </c>
      <c r="Q80" s="49" t="s">
        <v>95</v>
      </c>
      <c r="R80" s="3" t="str">
        <f t="shared" si="14"/>
        <v>"3":{"type":"con","dst_persist":"n","src":{"37603":{"raddr":"172.29.10.69:0","mhdr":"iBHb2","name":"NODO-01"},"47603":{"raddr":"172.29.10.70:0","mhdr":"iBHb2","name":"NODO-02"}},"dst":{"mode":"client","raddr":"172.19.211.103:7603","mhdr":"iBHb2","name":"Base24-POS1-03"},"plugin": {"file":"slb_plugin_rm_biciso.so","type":"RM","args": {"nodrop":"n"}}},</v>
      </c>
    </row>
    <row r="81" spans="1:18" ht="15" thickBot="1">
      <c r="A81" s="40"/>
      <c r="B81" s="16" t="s">
        <v>1324</v>
      </c>
      <c r="C81" s="125"/>
      <c r="D81" s="29">
        <v>4</v>
      </c>
      <c r="E81" s="17"/>
      <c r="F81" s="17" t="s">
        <v>14</v>
      </c>
      <c r="G81" s="17"/>
      <c r="H81" s="17" t="s">
        <v>437</v>
      </c>
      <c r="I81" s="17" t="s">
        <v>231</v>
      </c>
      <c r="J81" s="29" t="s">
        <v>1288</v>
      </c>
      <c r="K81" s="35" t="s">
        <v>437</v>
      </c>
      <c r="L81" s="32" t="str">
        <f t="shared" si="10"/>
        <v>172.29.10.69</v>
      </c>
      <c r="M81" s="32">
        <f t="shared" si="18"/>
        <v>37604</v>
      </c>
      <c r="N81" s="32" t="str">
        <f t="shared" si="11"/>
        <v>172.29.10.70</v>
      </c>
      <c r="O81" s="35">
        <f t="shared" si="17"/>
        <v>47604</v>
      </c>
      <c r="P81" s="35" t="s">
        <v>94</v>
      </c>
      <c r="Q81" s="36" t="s">
        <v>95</v>
      </c>
      <c r="R81" s="3" t="str">
        <f t="shared" si="14"/>
        <v>"4":{"type":"con","dst_persist":"n","src":{"37604":{"raddr":"172.29.10.69:0","mhdr":"iBHb2","name":"NODO-01"},"47604":{"raddr":"172.29.10.70:0","mhdr":"iBHb2","name":"NODO-02"}},"dst":{"mode":"client","raddr":"172.19.211.101:7604","mhdr":"iBHb2","name":"Base24-POS1-04"},"plugin": {"file":"slb_plugin_rm_biciso.so","type":"RM","args": {"nodrop":"n"}}},</v>
      </c>
    </row>
    <row r="82" spans="1:18" ht="15" thickBot="1">
      <c r="A82" s="47"/>
      <c r="B82" s="23" t="s">
        <v>1325</v>
      </c>
      <c r="C82" s="23"/>
      <c r="D82" s="29">
        <v>5</v>
      </c>
      <c r="E82" s="29"/>
      <c r="F82" s="29" t="s">
        <v>14</v>
      </c>
      <c r="G82" s="29"/>
      <c r="H82" s="29" t="s">
        <v>437</v>
      </c>
      <c r="I82" s="17" t="s">
        <v>231</v>
      </c>
      <c r="J82" s="29" t="s">
        <v>1289</v>
      </c>
      <c r="K82" s="32" t="s">
        <v>437</v>
      </c>
      <c r="L82" s="32" t="str">
        <f t="shared" si="10"/>
        <v>172.29.10.69</v>
      </c>
      <c r="M82" s="32">
        <f t="shared" si="18"/>
        <v>37605</v>
      </c>
      <c r="N82" s="32" t="str">
        <f t="shared" si="11"/>
        <v>172.29.10.70</v>
      </c>
      <c r="O82" s="32">
        <f t="shared" si="17"/>
        <v>47605</v>
      </c>
      <c r="P82" s="32" t="s">
        <v>94</v>
      </c>
      <c r="Q82" s="49" t="s">
        <v>95</v>
      </c>
      <c r="R82" s="3" t="str">
        <f t="shared" si="14"/>
        <v>"5":{"type":"con","dst_persist":"n","src":{"37605":{"raddr":"172.29.10.69:0","mhdr":"iBHb2","name":"NODO-01"},"47605":{"raddr":"172.29.10.70:0","mhdr":"iBHb2","name":"NODO-02"}},"dst":{"mode":"client","raddr":"172.19.211.101:7605","mhdr":"iBHb2","name":"Base24-POS1-05"},"plugin": {"file":"slb_plugin_rm_biciso.so","type":"RM","args": {"nodrop":"n"}}},</v>
      </c>
    </row>
    <row r="83" spans="1:18" ht="15" thickBot="1">
      <c r="A83" s="40"/>
      <c r="B83" s="16" t="s">
        <v>1326</v>
      </c>
      <c r="C83" s="125"/>
      <c r="D83" s="29">
        <v>6</v>
      </c>
      <c r="E83" s="17"/>
      <c r="F83" s="17" t="s">
        <v>14</v>
      </c>
      <c r="G83" s="17"/>
      <c r="H83" s="17" t="s">
        <v>437</v>
      </c>
      <c r="I83" s="17" t="s">
        <v>236</v>
      </c>
      <c r="J83" s="29" t="s">
        <v>1290</v>
      </c>
      <c r="K83" s="35" t="s">
        <v>437</v>
      </c>
      <c r="L83" s="32" t="str">
        <f t="shared" si="10"/>
        <v>172.29.10.69</v>
      </c>
      <c r="M83" s="32">
        <f t="shared" si="18"/>
        <v>37606</v>
      </c>
      <c r="N83" s="32" t="str">
        <f t="shared" si="11"/>
        <v>172.29.10.70</v>
      </c>
      <c r="O83" s="35">
        <f t="shared" si="17"/>
        <v>47606</v>
      </c>
      <c r="P83" s="35" t="s">
        <v>94</v>
      </c>
      <c r="Q83" s="36" t="s">
        <v>96</v>
      </c>
      <c r="R83" s="3" t="str">
        <f t="shared" si="14"/>
        <v>"6":{"type":"con","dst_persist":"n","src":{"37606":{"raddr":"172.29.10.69:0","mhdr":"iBHb2","name":"NODO-01"},"47606":{"raddr":"172.29.10.70:0","mhdr":"iBHb2","name":"NODO-02"}},"dst":{"mode":"client","raddr":"172.19.211.102:7606","mhdr":"iBHb2","name":"Base24-POS1-06"},"plugin": {"file":"slb_plugin_rm_biciso.so","type":"RM","args": {"nodrop":"n"}}}}},</v>
      </c>
    </row>
    <row r="84" spans="1:18" ht="15" thickBot="1">
      <c r="A84" s="47">
        <v>19</v>
      </c>
      <c r="B84" s="23" t="s">
        <v>1327</v>
      </c>
      <c r="C84" s="23"/>
      <c r="D84" s="29">
        <v>1</v>
      </c>
      <c r="E84" s="29"/>
      <c r="F84" s="29" t="s">
        <v>14</v>
      </c>
      <c r="G84" s="29"/>
      <c r="H84" s="29" t="s">
        <v>437</v>
      </c>
      <c r="I84" s="17" t="s">
        <v>231</v>
      </c>
      <c r="J84" s="29" t="s">
        <v>1291</v>
      </c>
      <c r="K84" s="32" t="s">
        <v>437</v>
      </c>
      <c r="L84" s="32" t="str">
        <f t="shared" si="10"/>
        <v>172.29.10.69</v>
      </c>
      <c r="M84" s="32">
        <f>J84+30000</f>
        <v>37607</v>
      </c>
      <c r="N84" s="32" t="str">
        <f t="shared" si="11"/>
        <v>172.29.10.70</v>
      </c>
      <c r="O84" s="32">
        <f t="shared" si="17"/>
        <v>47607</v>
      </c>
      <c r="P84" s="32" t="s">
        <v>94</v>
      </c>
      <c r="Q84" s="49" t="s">
        <v>95</v>
      </c>
      <c r="R84" s="3" t="str">
        <f t="shared" si="14"/>
        <v>"19":{"rules":{"1":{"type":"con","dst_persist":"n","src":{"37607":{"raddr":"172.29.10.69:0","mhdr":"iBHb2","name":"NODO-01"},"47607":{"raddr":"172.29.10.70:0","mhdr":"iBHb2","name":"NODO-02"}},"dst":{"mode":"client","raddr":"172.19.211.101:7607","mhdr":"iBHb2","name":"Base24-POS2-01"},"plugin": {"file":"slb_plugin_rm_biciso.so","type":"RM","args": {"nodrop":"n"}}},</v>
      </c>
    </row>
    <row r="85" spans="1:18" ht="15" thickBot="1">
      <c r="A85" s="40"/>
      <c r="B85" s="16" t="s">
        <v>1328</v>
      </c>
      <c r="C85" s="125"/>
      <c r="D85" s="29">
        <v>2</v>
      </c>
      <c r="E85" s="17"/>
      <c r="F85" s="17" t="s">
        <v>14</v>
      </c>
      <c r="G85" s="17"/>
      <c r="H85" s="17" t="s">
        <v>437</v>
      </c>
      <c r="I85" s="17" t="s">
        <v>231</v>
      </c>
      <c r="J85" s="29" t="s">
        <v>1292</v>
      </c>
      <c r="K85" s="35" t="s">
        <v>437</v>
      </c>
      <c r="L85" s="32" t="str">
        <f t="shared" si="10"/>
        <v>172.29.10.69</v>
      </c>
      <c r="M85" s="32">
        <f t="shared" ref="M85:M89" si="19">J85+30000</f>
        <v>37608</v>
      </c>
      <c r="N85" s="32" t="str">
        <f t="shared" si="11"/>
        <v>172.29.10.70</v>
      </c>
      <c r="O85" s="35">
        <f t="shared" si="17"/>
        <v>47608</v>
      </c>
      <c r="P85" s="35" t="s">
        <v>94</v>
      </c>
      <c r="Q85" s="36" t="s">
        <v>95</v>
      </c>
      <c r="R85" s="3" t="str">
        <f t="shared" si="14"/>
        <v>"2":{"type":"con","dst_persist":"n","src":{"37608":{"raddr":"172.29.10.69:0","mhdr":"iBHb2","name":"NODO-01"},"47608":{"raddr":"172.29.10.70:0","mhdr":"iBHb2","name":"NODO-02"}},"dst":{"mode":"client","raddr":"172.19.211.101:7608","mhdr":"iBHb2","name":"Base24-POS2-02"},"plugin": {"file":"slb_plugin_rm_biciso.so","type":"RM","args": {"nodrop":"n"}}},</v>
      </c>
    </row>
    <row r="86" spans="1:18" ht="15" thickBot="1">
      <c r="A86" s="47"/>
      <c r="B86" s="23" t="s">
        <v>1329</v>
      </c>
      <c r="C86" s="23"/>
      <c r="D86" s="29">
        <v>3</v>
      </c>
      <c r="E86" s="29"/>
      <c r="F86" s="29" t="s">
        <v>14</v>
      </c>
      <c r="G86" s="29"/>
      <c r="H86" s="29" t="s">
        <v>437</v>
      </c>
      <c r="I86" s="17" t="s">
        <v>236</v>
      </c>
      <c r="J86" s="29" t="s">
        <v>1293</v>
      </c>
      <c r="K86" s="32" t="s">
        <v>437</v>
      </c>
      <c r="L86" s="32" t="str">
        <f t="shared" si="10"/>
        <v>172.29.10.69</v>
      </c>
      <c r="M86" s="32">
        <f t="shared" si="19"/>
        <v>37609</v>
      </c>
      <c r="N86" s="32" t="str">
        <f t="shared" si="11"/>
        <v>172.29.10.70</v>
      </c>
      <c r="O86" s="32">
        <f t="shared" si="17"/>
        <v>47609</v>
      </c>
      <c r="P86" s="32" t="s">
        <v>94</v>
      </c>
      <c r="Q86" s="49" t="s">
        <v>95</v>
      </c>
      <c r="R86" s="3" t="str">
        <f t="shared" si="14"/>
        <v>"3":{"type":"con","dst_persist":"n","src":{"37609":{"raddr":"172.29.10.69:0","mhdr":"iBHb2","name":"NODO-01"},"47609":{"raddr":"172.29.10.70:0","mhdr":"iBHb2","name":"NODO-02"}},"dst":{"mode":"client","raddr":"172.19.211.102:7609","mhdr":"iBHb2","name":"Base24-POS2-03"},"plugin": {"file":"slb_plugin_rm_biciso.so","type":"RM","args": {"nodrop":"n"}}},</v>
      </c>
    </row>
    <row r="87" spans="1:18" ht="15" thickBot="1">
      <c r="A87" s="40"/>
      <c r="B87" s="16" t="s">
        <v>1330</v>
      </c>
      <c r="C87" s="125"/>
      <c r="D87" s="29">
        <v>4</v>
      </c>
      <c r="E87" s="17"/>
      <c r="F87" s="17" t="s">
        <v>14</v>
      </c>
      <c r="G87" s="17"/>
      <c r="H87" s="17" t="s">
        <v>437</v>
      </c>
      <c r="I87" s="17" t="s">
        <v>236</v>
      </c>
      <c r="J87" s="29" t="s">
        <v>1294</v>
      </c>
      <c r="K87" s="35" t="s">
        <v>437</v>
      </c>
      <c r="L87" s="32" t="str">
        <f t="shared" si="10"/>
        <v>172.29.10.69</v>
      </c>
      <c r="M87" s="32">
        <f t="shared" si="19"/>
        <v>37610</v>
      </c>
      <c r="N87" s="32" t="str">
        <f t="shared" si="11"/>
        <v>172.29.10.70</v>
      </c>
      <c r="O87" s="35">
        <f t="shared" si="17"/>
        <v>47610</v>
      </c>
      <c r="P87" s="35" t="s">
        <v>94</v>
      </c>
      <c r="Q87" s="36" t="s">
        <v>95</v>
      </c>
      <c r="R87" s="3" t="str">
        <f t="shared" si="14"/>
        <v>"4":{"type":"con","dst_persist":"n","src":{"37610":{"raddr":"172.29.10.69:0","mhdr":"iBHb2","name":"NODO-01"},"47610":{"raddr":"172.29.10.70:0","mhdr":"iBHb2","name":"NODO-02"}},"dst":{"mode":"client","raddr":"172.19.211.102:7610","mhdr":"iBHb2","name":"Base24-POS2-04"},"plugin": {"file":"slb_plugin_rm_biciso.so","type":"RM","args": {"nodrop":"n"}}},</v>
      </c>
    </row>
    <row r="88" spans="1:18" ht="15" thickBot="1">
      <c r="A88" s="47"/>
      <c r="B88" s="23" t="s">
        <v>1331</v>
      </c>
      <c r="C88" s="23"/>
      <c r="D88" s="29">
        <v>5</v>
      </c>
      <c r="E88" s="29"/>
      <c r="F88" s="29" t="s">
        <v>14</v>
      </c>
      <c r="G88" s="29"/>
      <c r="H88" s="29" t="s">
        <v>437</v>
      </c>
      <c r="I88" s="17" t="s">
        <v>242</v>
      </c>
      <c r="J88" s="29" t="s">
        <v>1295</v>
      </c>
      <c r="K88" s="32" t="s">
        <v>437</v>
      </c>
      <c r="L88" s="32" t="str">
        <f t="shared" si="10"/>
        <v>172.29.10.69</v>
      </c>
      <c r="M88" s="32">
        <f t="shared" si="19"/>
        <v>37611</v>
      </c>
      <c r="N88" s="32" t="str">
        <f t="shared" si="11"/>
        <v>172.29.10.70</v>
      </c>
      <c r="O88" s="32">
        <f t="shared" si="17"/>
        <v>47611</v>
      </c>
      <c r="P88" s="32" t="s">
        <v>94</v>
      </c>
      <c r="Q88" s="49" t="s">
        <v>95</v>
      </c>
      <c r="R88" s="3" t="str">
        <f t="shared" si="14"/>
        <v>"5":{"type":"con","dst_persist":"n","src":{"37611":{"raddr":"172.29.10.69:0","mhdr":"iBHb2","name":"NODO-01"},"47611":{"raddr":"172.29.10.70:0","mhdr":"iBHb2","name":"NODO-02"}},"dst":{"mode":"client","raddr":"172.19.211.103:7611","mhdr":"iBHb2","name":"Base24-POS2-05"},"plugin": {"file":"slb_plugin_rm_biciso.so","type":"RM","args": {"nodrop":"n"}}},</v>
      </c>
    </row>
    <row r="89" spans="1:18" ht="15" thickBot="1">
      <c r="A89" s="40"/>
      <c r="B89" s="16" t="s">
        <v>1332</v>
      </c>
      <c r="C89" s="125"/>
      <c r="D89" s="29">
        <v>6</v>
      </c>
      <c r="E89" s="17"/>
      <c r="F89" s="17" t="s">
        <v>14</v>
      </c>
      <c r="G89" s="17"/>
      <c r="H89" s="17" t="s">
        <v>437</v>
      </c>
      <c r="I89" s="17" t="s">
        <v>242</v>
      </c>
      <c r="J89" s="29" t="s">
        <v>1296</v>
      </c>
      <c r="K89" s="35" t="s">
        <v>437</v>
      </c>
      <c r="L89" s="32" t="str">
        <f t="shared" si="10"/>
        <v>172.29.10.69</v>
      </c>
      <c r="M89" s="32">
        <f t="shared" si="19"/>
        <v>37612</v>
      </c>
      <c r="N89" s="32" t="str">
        <f t="shared" si="11"/>
        <v>172.29.10.70</v>
      </c>
      <c r="O89" s="35">
        <f t="shared" si="17"/>
        <v>47612</v>
      </c>
      <c r="P89" s="35" t="s">
        <v>94</v>
      </c>
      <c r="Q89" s="36" t="s">
        <v>96</v>
      </c>
      <c r="R89" s="3" t="str">
        <f t="shared" si="14"/>
        <v>"6":{"type":"con","dst_persist":"n","src":{"37612":{"raddr":"172.29.10.69:0","mhdr":"iBHb2","name":"NODO-01"},"47612":{"raddr":"172.29.10.70:0","mhdr":"iBHb2","name":"NODO-02"}},"dst":{"mode":"client","raddr":"172.19.211.103:7612","mhdr":"iBHb2","name":"Base24-POS2-06"},"plugin": {"file":"slb_plugin_rm_biciso.so","type":"RM","args": {"nodrop":"n"}}}}},</v>
      </c>
    </row>
    <row r="90" spans="1:18" ht="15" thickBot="1">
      <c r="A90" s="47">
        <v>20</v>
      </c>
      <c r="B90" s="23" t="s">
        <v>1333</v>
      </c>
      <c r="C90" s="23"/>
      <c r="D90" s="29">
        <v>1</v>
      </c>
      <c r="E90" s="29"/>
      <c r="F90" s="29" t="s">
        <v>14</v>
      </c>
      <c r="G90" s="29"/>
      <c r="H90" s="29" t="s">
        <v>437</v>
      </c>
      <c r="I90" s="17" t="s">
        <v>231</v>
      </c>
      <c r="J90" s="29" t="s">
        <v>1297</v>
      </c>
      <c r="K90" s="32" t="s">
        <v>437</v>
      </c>
      <c r="L90" s="32" t="str">
        <f t="shared" si="10"/>
        <v>172.29.10.69</v>
      </c>
      <c r="M90" s="32">
        <f>J90+30000</f>
        <v>37613</v>
      </c>
      <c r="N90" s="32" t="str">
        <f t="shared" si="11"/>
        <v>172.29.10.70</v>
      </c>
      <c r="O90" s="32">
        <f t="shared" si="17"/>
        <v>47613</v>
      </c>
      <c r="P90" s="32" t="s">
        <v>94</v>
      </c>
      <c r="Q90" s="49" t="s">
        <v>95</v>
      </c>
      <c r="R90" s="3" t="str">
        <f t="shared" si="14"/>
        <v>"20":{"rules":{"1":{"type":"con","dst_persist":"n","src":{"37613":{"raddr":"172.29.10.69:0","mhdr":"iBHb2","name":"NODO-01"},"47613":{"raddr":"172.29.10.70:0","mhdr":"iBHb2","name":"NODO-02"}},"dst":{"mode":"client","raddr":"172.19.211.101:7613","mhdr":"iBHb2","name":"Base24-POS3-01"},"plugin": {"file":"slb_plugin_rm_biciso.so","type":"RM","args": {"nodrop":"n"}}},</v>
      </c>
    </row>
    <row r="91" spans="1:18" ht="15" thickBot="1">
      <c r="A91" s="40"/>
      <c r="B91" s="16" t="s">
        <v>1334</v>
      </c>
      <c r="C91" s="125"/>
      <c r="D91" s="29">
        <v>2</v>
      </c>
      <c r="E91" s="17"/>
      <c r="F91" s="17" t="s">
        <v>14</v>
      </c>
      <c r="G91" s="17"/>
      <c r="H91" s="17" t="s">
        <v>437</v>
      </c>
      <c r="I91" s="17" t="s">
        <v>231</v>
      </c>
      <c r="J91" s="29" t="s">
        <v>1298</v>
      </c>
      <c r="K91" s="35" t="s">
        <v>437</v>
      </c>
      <c r="L91" s="32" t="str">
        <f t="shared" si="10"/>
        <v>172.29.10.69</v>
      </c>
      <c r="M91" s="32">
        <f t="shared" ref="M91:M95" si="20">J91+30000</f>
        <v>37614</v>
      </c>
      <c r="N91" s="32" t="str">
        <f t="shared" si="11"/>
        <v>172.29.10.70</v>
      </c>
      <c r="O91" s="35">
        <f t="shared" si="17"/>
        <v>47614</v>
      </c>
      <c r="P91" s="35" t="s">
        <v>94</v>
      </c>
      <c r="Q91" s="36" t="s">
        <v>95</v>
      </c>
      <c r="R91" s="3" t="str">
        <f t="shared" si="14"/>
        <v>"2":{"type":"con","dst_persist":"n","src":{"37614":{"raddr":"172.29.10.69:0","mhdr":"iBHb2","name":"NODO-01"},"47614":{"raddr":"172.29.10.70:0","mhdr":"iBHb2","name":"NODO-02"}},"dst":{"mode":"client","raddr":"172.19.211.101:7614","mhdr":"iBHb2","name":"Base24-POS3-02"},"plugin": {"file":"slb_plugin_rm_biciso.so","type":"RM","args": {"nodrop":"n"}}},</v>
      </c>
    </row>
    <row r="92" spans="1:18" ht="15" thickBot="1">
      <c r="A92" s="47"/>
      <c r="B92" s="23" t="s">
        <v>1335</v>
      </c>
      <c r="C92" s="23"/>
      <c r="D92" s="29">
        <v>3</v>
      </c>
      <c r="E92" s="29"/>
      <c r="F92" s="29" t="s">
        <v>14</v>
      </c>
      <c r="G92" s="29"/>
      <c r="H92" s="29" t="s">
        <v>437</v>
      </c>
      <c r="I92" s="17" t="s">
        <v>236</v>
      </c>
      <c r="J92" s="29" t="s">
        <v>1299</v>
      </c>
      <c r="K92" s="32" t="s">
        <v>437</v>
      </c>
      <c r="L92" s="32" t="str">
        <f t="shared" si="10"/>
        <v>172.29.10.69</v>
      </c>
      <c r="M92" s="32">
        <f t="shared" si="20"/>
        <v>37615</v>
      </c>
      <c r="N92" s="32" t="str">
        <f t="shared" si="11"/>
        <v>172.29.10.70</v>
      </c>
      <c r="O92" s="32">
        <f t="shared" si="17"/>
        <v>47615</v>
      </c>
      <c r="P92" s="32" t="s">
        <v>94</v>
      </c>
      <c r="Q92" s="49" t="s">
        <v>95</v>
      </c>
      <c r="R92" s="3" t="str">
        <f t="shared" si="14"/>
        <v>"3":{"type":"con","dst_persist":"n","src":{"37615":{"raddr":"172.29.10.69:0","mhdr":"iBHb2","name":"NODO-01"},"47615":{"raddr":"172.29.10.70:0","mhdr":"iBHb2","name":"NODO-02"}},"dst":{"mode":"client","raddr":"172.19.211.102:7615","mhdr":"iBHb2","name":"Base24-POS3-03"},"plugin": {"file":"slb_plugin_rm_biciso.so","type":"RM","args": {"nodrop":"n"}}},</v>
      </c>
    </row>
    <row r="93" spans="1:18" ht="15" thickBot="1">
      <c r="A93" s="40"/>
      <c r="B93" s="16" t="s">
        <v>1336</v>
      </c>
      <c r="C93" s="125"/>
      <c r="D93" s="29">
        <v>4</v>
      </c>
      <c r="E93" s="17"/>
      <c r="F93" s="17" t="s">
        <v>14</v>
      </c>
      <c r="G93" s="17"/>
      <c r="H93" s="17" t="s">
        <v>437</v>
      </c>
      <c r="I93" s="17" t="s">
        <v>236</v>
      </c>
      <c r="J93" s="29" t="s">
        <v>1300</v>
      </c>
      <c r="K93" s="35" t="s">
        <v>437</v>
      </c>
      <c r="L93" s="32" t="str">
        <f t="shared" si="10"/>
        <v>172.29.10.69</v>
      </c>
      <c r="M93" s="32">
        <f t="shared" si="20"/>
        <v>37616</v>
      </c>
      <c r="N93" s="32" t="str">
        <f t="shared" si="11"/>
        <v>172.29.10.70</v>
      </c>
      <c r="O93" s="35">
        <f t="shared" si="17"/>
        <v>47616</v>
      </c>
      <c r="P93" s="35" t="s">
        <v>94</v>
      </c>
      <c r="Q93" s="36" t="s">
        <v>95</v>
      </c>
      <c r="R93" s="3" t="str">
        <f t="shared" si="14"/>
        <v>"4":{"type":"con","dst_persist":"n","src":{"37616":{"raddr":"172.29.10.69:0","mhdr":"iBHb2","name":"NODO-01"},"47616":{"raddr":"172.29.10.70:0","mhdr":"iBHb2","name":"NODO-02"}},"dst":{"mode":"client","raddr":"172.19.211.102:7616","mhdr":"iBHb2","name":"Base24-POS3-04"},"plugin": {"file":"slb_plugin_rm_biciso.so","type":"RM","args": {"nodrop":"n"}}},</v>
      </c>
    </row>
    <row r="94" spans="1:18" ht="15" thickBot="1">
      <c r="A94" s="47"/>
      <c r="B94" s="23" t="s">
        <v>1337</v>
      </c>
      <c r="C94" s="23"/>
      <c r="D94" s="29">
        <v>5</v>
      </c>
      <c r="E94" s="29"/>
      <c r="F94" s="29" t="s">
        <v>14</v>
      </c>
      <c r="G94" s="29"/>
      <c r="H94" s="29" t="s">
        <v>437</v>
      </c>
      <c r="I94" s="17" t="s">
        <v>242</v>
      </c>
      <c r="J94" s="29" t="s">
        <v>1301</v>
      </c>
      <c r="K94" s="32" t="s">
        <v>437</v>
      </c>
      <c r="L94" s="32" t="str">
        <f t="shared" si="10"/>
        <v>172.29.10.69</v>
      </c>
      <c r="M94" s="32">
        <f t="shared" si="20"/>
        <v>37617</v>
      </c>
      <c r="N94" s="32" t="str">
        <f t="shared" si="11"/>
        <v>172.29.10.70</v>
      </c>
      <c r="O94" s="32">
        <f t="shared" si="17"/>
        <v>47617</v>
      </c>
      <c r="P94" s="32" t="s">
        <v>94</v>
      </c>
      <c r="Q94" s="49" t="s">
        <v>95</v>
      </c>
      <c r="R94" s="3" t="str">
        <f t="shared" si="14"/>
        <v>"5":{"type":"con","dst_persist":"n","src":{"37617":{"raddr":"172.29.10.69:0","mhdr":"iBHb2","name":"NODO-01"},"47617":{"raddr":"172.29.10.70:0","mhdr":"iBHb2","name":"NODO-02"}},"dst":{"mode":"client","raddr":"172.19.211.103:7617","mhdr":"iBHb2","name":"Base24-POS3-05"},"plugin": {"file":"slb_plugin_rm_biciso.so","type":"RM","args": {"nodrop":"n"}}},</v>
      </c>
    </row>
    <row r="95" spans="1:18" ht="15" thickBot="1">
      <c r="A95" s="40"/>
      <c r="B95" s="16" t="s">
        <v>1338</v>
      </c>
      <c r="C95" s="125"/>
      <c r="D95" s="29">
        <v>6</v>
      </c>
      <c r="E95" s="17"/>
      <c r="F95" s="17" t="s">
        <v>14</v>
      </c>
      <c r="G95" s="17"/>
      <c r="H95" s="17" t="s">
        <v>437</v>
      </c>
      <c r="I95" s="17" t="s">
        <v>242</v>
      </c>
      <c r="J95" s="29" t="s">
        <v>1302</v>
      </c>
      <c r="K95" s="35" t="s">
        <v>437</v>
      </c>
      <c r="L95" s="32" t="str">
        <f t="shared" si="10"/>
        <v>172.29.10.69</v>
      </c>
      <c r="M95" s="32">
        <f t="shared" si="20"/>
        <v>37618</v>
      </c>
      <c r="N95" s="32" t="str">
        <f t="shared" si="11"/>
        <v>172.29.10.70</v>
      </c>
      <c r="O95" s="35">
        <f t="shared" si="17"/>
        <v>47618</v>
      </c>
      <c r="P95" s="35" t="s">
        <v>94</v>
      </c>
      <c r="Q95" s="36" t="s">
        <v>96</v>
      </c>
      <c r="R95" s="3" t="str">
        <f t="shared" si="14"/>
        <v>"6":{"type":"con","dst_persist":"n","src":{"37618":{"raddr":"172.29.10.69:0","mhdr":"iBHb2","name":"NODO-01"},"47618":{"raddr":"172.29.10.70:0","mhdr":"iBHb2","name":"NODO-02"}},"dst":{"mode":"client","raddr":"172.19.211.103:7618","mhdr":"iBHb2","name":"Base24-POS3-06"},"plugin": {"file":"slb_plugin_rm_biciso.so","type":"RM","args": {"nodrop":"n"}}}}},</v>
      </c>
    </row>
    <row r="96" spans="1:18" ht="15" thickBot="1">
      <c r="A96" s="47">
        <v>21</v>
      </c>
      <c r="B96" s="23" t="s">
        <v>1339</v>
      </c>
      <c r="C96" s="23"/>
      <c r="D96" s="29">
        <v>1</v>
      </c>
      <c r="E96" s="29"/>
      <c r="F96" s="29" t="s">
        <v>14</v>
      </c>
      <c r="G96" s="29"/>
      <c r="H96" s="29" t="s">
        <v>437</v>
      </c>
      <c r="I96" s="17" t="s">
        <v>231</v>
      </c>
      <c r="J96" s="29" t="s">
        <v>1303</v>
      </c>
      <c r="K96" s="32" t="s">
        <v>437</v>
      </c>
      <c r="L96" s="32" t="str">
        <f t="shared" si="10"/>
        <v>172.29.10.69</v>
      </c>
      <c r="M96" s="32">
        <f>J96+30000</f>
        <v>37619</v>
      </c>
      <c r="N96" s="32" t="str">
        <f t="shared" si="11"/>
        <v>172.29.10.70</v>
      </c>
      <c r="O96" s="32">
        <f t="shared" si="17"/>
        <v>47619</v>
      </c>
      <c r="P96" s="32" t="s">
        <v>94</v>
      </c>
      <c r="Q96" s="49" t="s">
        <v>95</v>
      </c>
      <c r="R96" s="3" t="str">
        <f t="shared" si="14"/>
        <v>"21":{"rules":{"1":{"type":"con","dst_persist":"n","src":{"37619":{"raddr":"172.29.10.69:0","mhdr":"iBHb2","name":"NODO-01"},"47619":{"raddr":"172.29.10.70:0","mhdr":"iBHb2","name":"NODO-02"}},"dst":{"mode":"client","raddr":"172.19.211.101:7619","mhdr":"iBHb2","name":"Base24-POS4-01"},"plugin": {"file":"slb_plugin_rm_biciso.so","type":"RM","args": {"nodrop":"n"}}},</v>
      </c>
    </row>
    <row r="97" spans="1:18" ht="15" thickBot="1">
      <c r="A97" s="40"/>
      <c r="B97" s="16" t="s">
        <v>1340</v>
      </c>
      <c r="C97" s="125"/>
      <c r="D97" s="29">
        <v>2</v>
      </c>
      <c r="E97" s="17"/>
      <c r="F97" s="17" t="s">
        <v>14</v>
      </c>
      <c r="G97" s="17"/>
      <c r="H97" s="17" t="s">
        <v>437</v>
      </c>
      <c r="I97" s="17" t="s">
        <v>231</v>
      </c>
      <c r="J97" s="29" t="s">
        <v>1304</v>
      </c>
      <c r="K97" s="35" t="s">
        <v>437</v>
      </c>
      <c r="L97" s="32" t="str">
        <f t="shared" si="10"/>
        <v>172.29.10.69</v>
      </c>
      <c r="M97" s="32">
        <f t="shared" ref="M97:M101" si="21">J97+30000</f>
        <v>37620</v>
      </c>
      <c r="N97" s="32" t="str">
        <f t="shared" si="11"/>
        <v>172.29.10.70</v>
      </c>
      <c r="O97" s="35">
        <f t="shared" si="17"/>
        <v>47620</v>
      </c>
      <c r="P97" s="35" t="s">
        <v>94</v>
      </c>
      <c r="Q97" s="36" t="s">
        <v>95</v>
      </c>
      <c r="R97" s="3" t="str">
        <f t="shared" si="14"/>
        <v>"2":{"type":"con","dst_persist":"n","src":{"37620":{"raddr":"172.29.10.69:0","mhdr":"iBHb2","name":"NODO-01"},"47620":{"raddr":"172.29.10.70:0","mhdr":"iBHb2","name":"NODO-02"}},"dst":{"mode":"client","raddr":"172.19.211.101:7620","mhdr":"iBHb2","name":"Base24-POS4-02"},"plugin": {"file":"slb_plugin_rm_biciso.so","type":"RM","args": {"nodrop":"n"}}},</v>
      </c>
    </row>
    <row r="98" spans="1:18" ht="15" thickBot="1">
      <c r="A98" s="47"/>
      <c r="B98" s="23" t="s">
        <v>1341</v>
      </c>
      <c r="C98" s="23"/>
      <c r="D98" s="29">
        <v>3</v>
      </c>
      <c r="E98" s="29"/>
      <c r="F98" s="29" t="s">
        <v>14</v>
      </c>
      <c r="G98" s="29"/>
      <c r="H98" s="29" t="s">
        <v>437</v>
      </c>
      <c r="I98" s="17" t="s">
        <v>236</v>
      </c>
      <c r="J98" s="29" t="s">
        <v>1305</v>
      </c>
      <c r="K98" s="32" t="s">
        <v>437</v>
      </c>
      <c r="L98" s="32" t="str">
        <f t="shared" si="10"/>
        <v>172.29.10.69</v>
      </c>
      <c r="M98" s="32">
        <f t="shared" si="21"/>
        <v>37621</v>
      </c>
      <c r="N98" s="32" t="str">
        <f t="shared" si="11"/>
        <v>172.29.10.70</v>
      </c>
      <c r="O98" s="32">
        <f t="shared" si="17"/>
        <v>47621</v>
      </c>
      <c r="P98" s="32" t="s">
        <v>94</v>
      </c>
      <c r="Q98" s="49" t="s">
        <v>95</v>
      </c>
      <c r="R98" s="3" t="str">
        <f t="shared" si="14"/>
        <v>"3":{"type":"con","dst_persist":"n","src":{"37621":{"raddr":"172.29.10.69:0","mhdr":"iBHb2","name":"NODO-01"},"47621":{"raddr":"172.29.10.70:0","mhdr":"iBHb2","name":"NODO-02"}},"dst":{"mode":"client","raddr":"172.19.211.102:7621","mhdr":"iBHb2","name":"Base24-POS4-03"},"plugin": {"file":"slb_plugin_rm_biciso.so","type":"RM","args": {"nodrop":"n"}}},</v>
      </c>
    </row>
    <row r="99" spans="1:18" ht="15" thickBot="1">
      <c r="A99" s="40"/>
      <c r="B99" s="16" t="s">
        <v>1342</v>
      </c>
      <c r="C99" s="125"/>
      <c r="D99" s="29">
        <v>4</v>
      </c>
      <c r="E99" s="17"/>
      <c r="F99" s="17" t="s">
        <v>14</v>
      </c>
      <c r="G99" s="17"/>
      <c r="H99" s="17" t="s">
        <v>437</v>
      </c>
      <c r="I99" s="17" t="s">
        <v>236</v>
      </c>
      <c r="J99" s="29" t="s">
        <v>1306</v>
      </c>
      <c r="K99" s="35" t="s">
        <v>437</v>
      </c>
      <c r="L99" s="32" t="str">
        <f t="shared" si="10"/>
        <v>172.29.10.69</v>
      </c>
      <c r="M99" s="32">
        <f t="shared" si="21"/>
        <v>37622</v>
      </c>
      <c r="N99" s="32" t="str">
        <f t="shared" si="11"/>
        <v>172.29.10.70</v>
      </c>
      <c r="O99" s="35">
        <f t="shared" si="17"/>
        <v>47622</v>
      </c>
      <c r="P99" s="35" t="s">
        <v>94</v>
      </c>
      <c r="Q99" s="36" t="s">
        <v>95</v>
      </c>
      <c r="R99" s="3" t="str">
        <f t="shared" si="14"/>
        <v>"4":{"type":"con","dst_persist":"n","src":{"37622":{"raddr":"172.29.10.69:0","mhdr":"iBHb2","name":"NODO-01"},"47622":{"raddr":"172.29.10.70:0","mhdr":"iBHb2","name":"NODO-02"}},"dst":{"mode":"client","raddr":"172.19.211.102:7622","mhdr":"iBHb2","name":"Base24-POS4-04"},"plugin": {"file":"slb_plugin_rm_biciso.so","type":"RM","args": {"nodrop":"n"}}},</v>
      </c>
    </row>
    <row r="100" spans="1:18" ht="15" thickBot="1">
      <c r="A100" s="47"/>
      <c r="B100" s="23" t="s">
        <v>1343</v>
      </c>
      <c r="C100" s="23"/>
      <c r="D100" s="29">
        <v>5</v>
      </c>
      <c r="E100" s="29"/>
      <c r="F100" s="29" t="s">
        <v>14</v>
      </c>
      <c r="G100" s="29"/>
      <c r="H100" s="29" t="s">
        <v>437</v>
      </c>
      <c r="I100" s="17" t="s">
        <v>242</v>
      </c>
      <c r="J100" s="29" t="s">
        <v>1307</v>
      </c>
      <c r="K100" s="32" t="s">
        <v>437</v>
      </c>
      <c r="L100" s="32" t="str">
        <f t="shared" si="10"/>
        <v>172.29.10.69</v>
      </c>
      <c r="M100" s="32">
        <f t="shared" si="21"/>
        <v>37623</v>
      </c>
      <c r="N100" s="32" t="str">
        <f t="shared" si="11"/>
        <v>172.29.10.70</v>
      </c>
      <c r="O100" s="32">
        <f t="shared" si="17"/>
        <v>47623</v>
      </c>
      <c r="P100" s="32" t="s">
        <v>94</v>
      </c>
      <c r="Q100" s="49" t="s">
        <v>95</v>
      </c>
      <c r="R100" s="3" t="str">
        <f t="shared" si="14"/>
        <v>"5":{"type":"con","dst_persist":"n","src":{"37623":{"raddr":"172.29.10.69:0","mhdr":"iBHb2","name":"NODO-01"},"47623":{"raddr":"172.29.10.70:0","mhdr":"iBHb2","name":"NODO-02"}},"dst":{"mode":"client","raddr":"172.19.211.103:7623","mhdr":"iBHb2","name":"Base24-POS4-05"},"plugin": {"file":"slb_plugin_rm_biciso.so","type":"RM","args": {"nodrop":"n"}}},</v>
      </c>
    </row>
    <row r="101" spans="1:18" ht="15" thickBot="1">
      <c r="A101" s="40"/>
      <c r="B101" s="16" t="s">
        <v>1344</v>
      </c>
      <c r="C101" s="125"/>
      <c r="D101" s="29">
        <v>6</v>
      </c>
      <c r="E101" s="17"/>
      <c r="F101" s="17" t="s">
        <v>14</v>
      </c>
      <c r="G101" s="17"/>
      <c r="H101" s="17" t="s">
        <v>437</v>
      </c>
      <c r="I101" s="17" t="s">
        <v>242</v>
      </c>
      <c r="J101" s="29" t="s">
        <v>1308</v>
      </c>
      <c r="K101" s="35" t="s">
        <v>437</v>
      </c>
      <c r="L101" s="32" t="str">
        <f t="shared" si="10"/>
        <v>172.29.10.69</v>
      </c>
      <c r="M101" s="32">
        <f t="shared" si="21"/>
        <v>37624</v>
      </c>
      <c r="N101" s="32" t="str">
        <f t="shared" si="11"/>
        <v>172.29.10.70</v>
      </c>
      <c r="O101" s="35">
        <f t="shared" si="17"/>
        <v>47624</v>
      </c>
      <c r="P101" s="35" t="s">
        <v>94</v>
      </c>
      <c r="Q101" s="36" t="s">
        <v>96</v>
      </c>
      <c r="R101" s="3" t="str">
        <f t="shared" si="14"/>
        <v>"6":{"type":"con","dst_persist":"n","src":{"37624":{"raddr":"172.29.10.69:0","mhdr":"iBHb2","name":"NODO-01"},"47624":{"raddr":"172.29.10.70:0","mhdr":"iBHb2","name":"NODO-02"}},"dst":{"mode":"client","raddr":"172.19.211.103:7624","mhdr":"iBHb2","name":"Base24-POS4-06"},"plugin": {"file":"slb_plugin_rm_biciso.so","type":"RM","args": {"nodrop":"n"}}}}},</v>
      </c>
    </row>
    <row r="102" spans="1:18" ht="15" thickBot="1">
      <c r="A102" s="47">
        <v>22</v>
      </c>
      <c r="B102" s="23" t="s">
        <v>1345</v>
      </c>
      <c r="C102" s="23"/>
      <c r="D102" s="29">
        <v>1</v>
      </c>
      <c r="E102" s="29"/>
      <c r="F102" s="29" t="s">
        <v>14</v>
      </c>
      <c r="G102" s="29"/>
      <c r="H102" s="29" t="s">
        <v>437</v>
      </c>
      <c r="I102" s="17" t="s">
        <v>231</v>
      </c>
      <c r="J102" s="29" t="s">
        <v>1309</v>
      </c>
      <c r="K102" s="32" t="s">
        <v>437</v>
      </c>
      <c r="L102" s="32" t="str">
        <f t="shared" si="10"/>
        <v>172.29.10.69</v>
      </c>
      <c r="M102" s="32">
        <f>J102+30000</f>
        <v>37625</v>
      </c>
      <c r="N102" s="32" t="str">
        <f t="shared" si="11"/>
        <v>172.29.10.70</v>
      </c>
      <c r="O102" s="32">
        <f t="shared" si="17"/>
        <v>47625</v>
      </c>
      <c r="P102" s="32" t="s">
        <v>94</v>
      </c>
      <c r="Q102" s="49" t="s">
        <v>95</v>
      </c>
      <c r="R102" s="3" t="str">
        <f t="shared" si="14"/>
        <v>"22":{"rules":{"1":{"type":"con","dst_persist":"n","src":{"37625":{"raddr":"172.29.10.69:0","mhdr":"iBHb2","name":"NODO-01"},"47625":{"raddr":"172.29.10.70:0","mhdr":"iBHb2","name":"NODO-02"}},"dst":{"mode":"client","raddr":"172.19.211.101:7625","mhdr":"iBHb2","name":"Base24-POS5-01"},"plugin": {"file":"slb_plugin_rm_biciso.so","type":"RM","args": {"nodrop":"n"}}},</v>
      </c>
    </row>
    <row r="103" spans="1:18" ht="15" thickBot="1">
      <c r="A103" s="40"/>
      <c r="B103" s="16" t="s">
        <v>1346</v>
      </c>
      <c r="C103" s="125"/>
      <c r="D103" s="29">
        <v>2</v>
      </c>
      <c r="E103" s="17"/>
      <c r="F103" s="17" t="s">
        <v>14</v>
      </c>
      <c r="G103" s="17"/>
      <c r="H103" s="17" t="s">
        <v>437</v>
      </c>
      <c r="I103" s="17" t="s">
        <v>231</v>
      </c>
      <c r="J103" s="29" t="s">
        <v>1310</v>
      </c>
      <c r="K103" s="35" t="s">
        <v>437</v>
      </c>
      <c r="L103" s="32" t="str">
        <f t="shared" si="10"/>
        <v>172.29.10.69</v>
      </c>
      <c r="M103" s="32">
        <f t="shared" ref="M103:M107" si="22">J103+30000</f>
        <v>37626</v>
      </c>
      <c r="N103" s="32" t="str">
        <f t="shared" si="11"/>
        <v>172.29.10.70</v>
      </c>
      <c r="O103" s="35">
        <f t="shared" si="17"/>
        <v>47626</v>
      </c>
      <c r="P103" s="35" t="s">
        <v>94</v>
      </c>
      <c r="Q103" s="36" t="s">
        <v>95</v>
      </c>
      <c r="R103" s="3" t="str">
        <f t="shared" si="14"/>
        <v>"2":{"type":"con","dst_persist":"n","src":{"37626":{"raddr":"172.29.10.69:0","mhdr":"iBHb2","name":"NODO-01"},"47626":{"raddr":"172.29.10.70:0","mhdr":"iBHb2","name":"NODO-02"}},"dst":{"mode":"client","raddr":"172.19.211.101:7626","mhdr":"iBHb2","name":"Base24-POS5-02"},"plugin": {"file":"slb_plugin_rm_biciso.so","type":"RM","args": {"nodrop":"n"}}},</v>
      </c>
    </row>
    <row r="104" spans="1:18" ht="15" thickBot="1">
      <c r="A104" s="47"/>
      <c r="B104" s="23" t="s">
        <v>1347</v>
      </c>
      <c r="C104" s="23"/>
      <c r="D104" s="29">
        <v>3</v>
      </c>
      <c r="E104" s="29"/>
      <c r="F104" s="29" t="s">
        <v>14</v>
      </c>
      <c r="G104" s="29"/>
      <c r="H104" s="29" t="s">
        <v>437</v>
      </c>
      <c r="I104" s="17" t="s">
        <v>236</v>
      </c>
      <c r="J104" s="29" t="s">
        <v>1311</v>
      </c>
      <c r="K104" s="32" t="s">
        <v>437</v>
      </c>
      <c r="L104" s="32" t="str">
        <f t="shared" si="10"/>
        <v>172.29.10.69</v>
      </c>
      <c r="M104" s="32">
        <f t="shared" si="22"/>
        <v>37627</v>
      </c>
      <c r="N104" s="32" t="str">
        <f t="shared" si="11"/>
        <v>172.29.10.70</v>
      </c>
      <c r="O104" s="32">
        <f t="shared" si="17"/>
        <v>47627</v>
      </c>
      <c r="P104" s="32" t="s">
        <v>94</v>
      </c>
      <c r="Q104" s="49" t="s">
        <v>95</v>
      </c>
      <c r="R104" s="3" t="str">
        <f t="shared" si="14"/>
        <v>"3":{"type":"con","dst_persist":"n","src":{"37627":{"raddr":"172.29.10.69:0","mhdr":"iBHb2","name":"NODO-01"},"47627":{"raddr":"172.29.10.70:0","mhdr":"iBHb2","name":"NODO-02"}},"dst":{"mode":"client","raddr":"172.19.211.102:7627","mhdr":"iBHb2","name":"Base24-POS5-03"},"plugin": {"file":"slb_plugin_rm_biciso.so","type":"RM","args": {"nodrop":"n"}}},</v>
      </c>
    </row>
    <row r="105" spans="1:18" ht="15" thickBot="1">
      <c r="A105" s="40"/>
      <c r="B105" s="16" t="s">
        <v>1348</v>
      </c>
      <c r="C105" s="125"/>
      <c r="D105" s="29">
        <v>4</v>
      </c>
      <c r="E105" s="17"/>
      <c r="F105" s="17" t="s">
        <v>14</v>
      </c>
      <c r="G105" s="17"/>
      <c r="H105" s="17" t="s">
        <v>437</v>
      </c>
      <c r="I105" s="17" t="s">
        <v>236</v>
      </c>
      <c r="J105" s="29" t="s">
        <v>1312</v>
      </c>
      <c r="K105" s="35" t="s">
        <v>437</v>
      </c>
      <c r="L105" s="32" t="str">
        <f t="shared" si="10"/>
        <v>172.29.10.69</v>
      </c>
      <c r="M105" s="32">
        <f t="shared" si="22"/>
        <v>37628</v>
      </c>
      <c r="N105" s="32" t="str">
        <f t="shared" si="11"/>
        <v>172.29.10.70</v>
      </c>
      <c r="O105" s="35">
        <f t="shared" si="17"/>
        <v>47628</v>
      </c>
      <c r="P105" s="35" t="s">
        <v>94</v>
      </c>
      <c r="Q105" s="36" t="s">
        <v>95</v>
      </c>
      <c r="R105" s="3" t="str">
        <f t="shared" si="14"/>
        <v>"4":{"type":"con","dst_persist":"n","src":{"37628":{"raddr":"172.29.10.69:0","mhdr":"iBHb2","name":"NODO-01"},"47628":{"raddr":"172.29.10.70:0","mhdr":"iBHb2","name":"NODO-02"}},"dst":{"mode":"client","raddr":"172.19.211.102:7628","mhdr":"iBHb2","name":"Base24-POS5-04"},"plugin": {"file":"slb_plugin_rm_biciso.so","type":"RM","args": {"nodrop":"n"}}},</v>
      </c>
    </row>
    <row r="106" spans="1:18" ht="15" thickBot="1">
      <c r="A106" s="47"/>
      <c r="B106" s="23" t="s">
        <v>1349</v>
      </c>
      <c r="C106" s="23"/>
      <c r="D106" s="29">
        <v>5</v>
      </c>
      <c r="E106" s="29"/>
      <c r="F106" s="29" t="s">
        <v>14</v>
      </c>
      <c r="G106" s="29"/>
      <c r="H106" s="29" t="s">
        <v>437</v>
      </c>
      <c r="I106" s="17" t="s">
        <v>242</v>
      </c>
      <c r="J106" s="29" t="s">
        <v>1313</v>
      </c>
      <c r="K106" s="32" t="s">
        <v>437</v>
      </c>
      <c r="L106" s="32" t="str">
        <f t="shared" si="10"/>
        <v>172.29.10.69</v>
      </c>
      <c r="M106" s="32">
        <f t="shared" si="22"/>
        <v>37629</v>
      </c>
      <c r="N106" s="32" t="str">
        <f t="shared" si="11"/>
        <v>172.29.10.70</v>
      </c>
      <c r="O106" s="32">
        <f t="shared" si="17"/>
        <v>47629</v>
      </c>
      <c r="P106" s="32" t="s">
        <v>94</v>
      </c>
      <c r="Q106" s="49" t="s">
        <v>95</v>
      </c>
      <c r="R106" s="3" t="str">
        <f t="shared" si="14"/>
        <v>"5":{"type":"con","dst_persist":"n","src":{"37629":{"raddr":"172.29.10.69:0","mhdr":"iBHb2","name":"NODO-01"},"47629":{"raddr":"172.29.10.70:0","mhdr":"iBHb2","name":"NODO-02"}},"dst":{"mode":"client","raddr":"172.19.211.103:7629","mhdr":"iBHb2","name":"Base24-POS5-05"},"plugin": {"file":"slb_plugin_rm_biciso.so","type":"RM","args": {"nodrop":"n"}}},</v>
      </c>
    </row>
    <row r="107" spans="1:18" ht="15" thickBot="1">
      <c r="A107" s="40"/>
      <c r="B107" s="16" t="s">
        <v>1350</v>
      </c>
      <c r="C107" s="125"/>
      <c r="D107" s="29">
        <v>6</v>
      </c>
      <c r="E107" s="17"/>
      <c r="F107" s="17" t="s">
        <v>14</v>
      </c>
      <c r="G107" s="17"/>
      <c r="H107" s="17" t="s">
        <v>437</v>
      </c>
      <c r="I107" s="17" t="s">
        <v>242</v>
      </c>
      <c r="J107" s="29" t="s">
        <v>1314</v>
      </c>
      <c r="K107" s="35" t="s">
        <v>437</v>
      </c>
      <c r="L107" s="32" t="str">
        <f t="shared" si="10"/>
        <v>172.29.10.69</v>
      </c>
      <c r="M107" s="32">
        <f t="shared" si="22"/>
        <v>37630</v>
      </c>
      <c r="N107" s="32" t="str">
        <f t="shared" si="11"/>
        <v>172.29.10.70</v>
      </c>
      <c r="O107" s="35">
        <f t="shared" si="17"/>
        <v>47630</v>
      </c>
      <c r="P107" s="35" t="s">
        <v>94</v>
      </c>
      <c r="Q107" s="36" t="s">
        <v>96</v>
      </c>
      <c r="R107" s="3" t="str">
        <f t="shared" si="14"/>
        <v>"6":{"type":"con","dst_persist":"n","src":{"37630":{"raddr":"172.29.10.69:0","mhdr":"iBHb2","name":"NODO-01"},"47630":{"raddr":"172.29.10.70:0","mhdr":"iBHb2","name":"NODO-02"}},"dst":{"mode":"client","raddr":"172.19.211.103:7630","mhdr":"iBHb2","name":"Base24-POS5-06"},"plugin": {"file":"slb_plugin_rm_biciso.so","type":"RM","args": {"nodrop":"n"}}}}},</v>
      </c>
    </row>
    <row r="108" spans="1:18" ht="15" thickBot="1">
      <c r="A108" s="47">
        <v>23</v>
      </c>
      <c r="B108" s="23" t="s">
        <v>1351</v>
      </c>
      <c r="C108" s="23"/>
      <c r="D108" s="29">
        <v>1</v>
      </c>
      <c r="E108" s="29"/>
      <c r="F108" s="29" t="s">
        <v>14</v>
      </c>
      <c r="G108" s="29"/>
      <c r="H108" s="29" t="s">
        <v>437</v>
      </c>
      <c r="I108" s="17" t="s">
        <v>231</v>
      </c>
      <c r="J108" s="29" t="s">
        <v>1315</v>
      </c>
      <c r="K108" s="32" t="s">
        <v>437</v>
      </c>
      <c r="L108" s="32" t="str">
        <f t="shared" si="10"/>
        <v>172.29.10.69</v>
      </c>
      <c r="M108" s="32">
        <f>J108+30000</f>
        <v>37631</v>
      </c>
      <c r="N108" s="32" t="str">
        <f t="shared" si="11"/>
        <v>172.29.10.70</v>
      </c>
      <c r="O108" s="32">
        <f t="shared" si="17"/>
        <v>47631</v>
      </c>
      <c r="P108" s="32" t="s">
        <v>94</v>
      </c>
      <c r="Q108" s="49" t="s">
        <v>95</v>
      </c>
      <c r="R108" s="3" t="str">
        <f t="shared" si="14"/>
        <v>"23":{"rules":{"1":{"type":"con","dst_persist":"n","src":{"37631":{"raddr":"172.29.10.69:0","mhdr":"iBHb2","name":"NODO-01"},"47631":{"raddr":"172.29.10.70:0","mhdr":"iBHb2","name":"NODO-02"}},"dst":{"mode":"client","raddr":"172.19.211.101:7631","mhdr":"iBHb2","name":"Base24-POS6-01"},"plugin": {"file":"slb_plugin_rm_biciso.so","type":"RM","args": {"nodrop":"n"}}},</v>
      </c>
    </row>
    <row r="109" spans="1:18" ht="15" thickBot="1">
      <c r="A109" s="40"/>
      <c r="B109" s="16" t="s">
        <v>1352</v>
      </c>
      <c r="C109" s="125"/>
      <c r="D109" s="29">
        <v>2</v>
      </c>
      <c r="E109" s="17"/>
      <c r="F109" s="17" t="s">
        <v>14</v>
      </c>
      <c r="G109" s="17"/>
      <c r="H109" s="17" t="s">
        <v>437</v>
      </c>
      <c r="I109" s="17" t="s">
        <v>231</v>
      </c>
      <c r="J109" s="29" t="s">
        <v>1316</v>
      </c>
      <c r="K109" s="35" t="s">
        <v>437</v>
      </c>
      <c r="L109" s="32" t="str">
        <f t="shared" si="10"/>
        <v>172.29.10.69</v>
      </c>
      <c r="M109" s="32">
        <f t="shared" ref="M109:M115" si="23">J109+30000</f>
        <v>37632</v>
      </c>
      <c r="N109" s="32" t="str">
        <f t="shared" si="11"/>
        <v>172.29.10.70</v>
      </c>
      <c r="O109" s="35">
        <f t="shared" si="17"/>
        <v>47632</v>
      </c>
      <c r="P109" s="35" t="s">
        <v>94</v>
      </c>
      <c r="Q109" s="36" t="s">
        <v>95</v>
      </c>
      <c r="R109" s="3" t="str">
        <f t="shared" si="14"/>
        <v>"2":{"type":"con","dst_persist":"n","src":{"37632":{"raddr":"172.29.10.69:0","mhdr":"iBHb2","name":"NODO-01"},"47632":{"raddr":"172.29.10.70:0","mhdr":"iBHb2","name":"NODO-02"}},"dst":{"mode":"client","raddr":"172.19.211.101:7632","mhdr":"iBHb2","name":"Base24-POS6-02"},"plugin": {"file":"slb_plugin_rm_biciso.so","type":"RM","args": {"nodrop":"n"}}},</v>
      </c>
    </row>
    <row r="110" spans="1:18" ht="15" thickBot="1">
      <c r="A110" s="47"/>
      <c r="B110" s="23" t="s">
        <v>1353</v>
      </c>
      <c r="C110" s="23"/>
      <c r="D110" s="29">
        <v>3</v>
      </c>
      <c r="E110" s="29"/>
      <c r="F110" s="29" t="s">
        <v>14</v>
      </c>
      <c r="G110" s="29"/>
      <c r="H110" s="29" t="s">
        <v>437</v>
      </c>
      <c r="I110" s="17" t="s">
        <v>236</v>
      </c>
      <c r="J110" s="29" t="s">
        <v>1317</v>
      </c>
      <c r="K110" s="32" t="s">
        <v>437</v>
      </c>
      <c r="L110" s="32" t="str">
        <f t="shared" si="10"/>
        <v>172.29.10.69</v>
      </c>
      <c r="M110" s="32">
        <f t="shared" si="23"/>
        <v>37633</v>
      </c>
      <c r="N110" s="32" t="str">
        <f t="shared" si="11"/>
        <v>172.29.10.70</v>
      </c>
      <c r="O110" s="32">
        <f t="shared" si="17"/>
        <v>47633</v>
      </c>
      <c r="P110" s="32" t="s">
        <v>94</v>
      </c>
      <c r="Q110" s="49" t="s">
        <v>95</v>
      </c>
      <c r="R110" s="3" t="str">
        <f t="shared" si="14"/>
        <v>"3":{"type":"con","dst_persist":"n","src":{"37633":{"raddr":"172.29.10.69:0","mhdr":"iBHb2","name":"NODO-01"},"47633":{"raddr":"172.29.10.70:0","mhdr":"iBHb2","name":"NODO-02"}},"dst":{"mode":"client","raddr":"172.19.211.102:7633","mhdr":"iBHb2","name":"Base24-POS6-03"},"plugin": {"file":"slb_plugin_rm_biciso.so","type":"RM","args": {"nodrop":"n"}}},</v>
      </c>
    </row>
    <row r="111" spans="1:18" ht="15" thickBot="1">
      <c r="A111" s="40"/>
      <c r="B111" s="16" t="s">
        <v>1354</v>
      </c>
      <c r="C111" s="125"/>
      <c r="D111" s="29">
        <v>4</v>
      </c>
      <c r="E111" s="17"/>
      <c r="F111" s="17" t="s">
        <v>14</v>
      </c>
      <c r="G111" s="17"/>
      <c r="H111" s="17" t="s">
        <v>437</v>
      </c>
      <c r="I111" s="17" t="s">
        <v>236</v>
      </c>
      <c r="J111" s="29" t="s">
        <v>1318</v>
      </c>
      <c r="K111" s="35" t="s">
        <v>437</v>
      </c>
      <c r="L111" s="32" t="str">
        <f t="shared" si="10"/>
        <v>172.29.10.69</v>
      </c>
      <c r="M111" s="32">
        <f t="shared" si="23"/>
        <v>37634</v>
      </c>
      <c r="N111" s="32" t="str">
        <f t="shared" si="11"/>
        <v>172.29.10.70</v>
      </c>
      <c r="O111" s="35">
        <f t="shared" si="17"/>
        <v>47634</v>
      </c>
      <c r="P111" s="35" t="s">
        <v>94</v>
      </c>
      <c r="Q111" s="36" t="s">
        <v>95</v>
      </c>
      <c r="R111" s="3" t="str">
        <f t="shared" si="14"/>
        <v>"4":{"type":"con","dst_persist":"n","src":{"37634":{"raddr":"172.29.10.69:0","mhdr":"iBHb2","name":"NODO-01"},"47634":{"raddr":"172.29.10.70:0","mhdr":"iBHb2","name":"NODO-02"}},"dst":{"mode":"client","raddr":"172.19.211.102:7634","mhdr":"iBHb2","name":"Base24-POS6-04"},"plugin": {"file":"slb_plugin_rm_biciso.so","type":"RM","args": {"nodrop":"n"}}},</v>
      </c>
    </row>
    <row r="112" spans="1:18" ht="15" thickBot="1">
      <c r="A112" s="47"/>
      <c r="B112" s="23" t="s">
        <v>1355</v>
      </c>
      <c r="C112" s="23"/>
      <c r="D112" s="29">
        <v>5</v>
      </c>
      <c r="E112" s="29"/>
      <c r="F112" s="29" t="s">
        <v>14</v>
      </c>
      <c r="G112" s="29"/>
      <c r="H112" s="29" t="s">
        <v>437</v>
      </c>
      <c r="I112" s="17" t="s">
        <v>242</v>
      </c>
      <c r="J112" s="29" t="s">
        <v>1319</v>
      </c>
      <c r="K112" s="32" t="s">
        <v>437</v>
      </c>
      <c r="L112" s="32" t="str">
        <f t="shared" si="10"/>
        <v>172.29.10.69</v>
      </c>
      <c r="M112" s="32">
        <f t="shared" si="23"/>
        <v>37635</v>
      </c>
      <c r="N112" s="32" t="str">
        <f t="shared" si="11"/>
        <v>172.29.10.70</v>
      </c>
      <c r="O112" s="32">
        <f t="shared" si="17"/>
        <v>47635</v>
      </c>
      <c r="P112" s="32" t="s">
        <v>94</v>
      </c>
      <c r="Q112" s="49" t="s">
        <v>95</v>
      </c>
      <c r="R112" s="3" t="str">
        <f t="shared" si="14"/>
        <v>"5":{"type":"con","dst_persist":"n","src":{"37635":{"raddr":"172.29.10.69:0","mhdr":"iBHb2","name":"NODO-01"},"47635":{"raddr":"172.29.10.70:0","mhdr":"iBHb2","name":"NODO-02"}},"dst":{"mode":"client","raddr":"172.19.211.103:7635","mhdr":"iBHb2","name":"Base24-POS6-05"},"plugin": {"file":"slb_plugin_rm_biciso.so","type":"RM","args": {"nodrop":"n"}}},</v>
      </c>
    </row>
    <row r="113" spans="1:18" ht="15" thickBot="1">
      <c r="A113" s="40"/>
      <c r="B113" s="16" t="s">
        <v>1356</v>
      </c>
      <c r="C113" s="125"/>
      <c r="D113" s="29">
        <v>6</v>
      </c>
      <c r="E113" s="17"/>
      <c r="F113" s="17" t="s">
        <v>14</v>
      </c>
      <c r="G113" s="17"/>
      <c r="H113" s="17" t="s">
        <v>437</v>
      </c>
      <c r="I113" s="17" t="s">
        <v>242</v>
      </c>
      <c r="J113" s="29" t="s">
        <v>1320</v>
      </c>
      <c r="K113" s="35" t="s">
        <v>437</v>
      </c>
      <c r="L113" s="32" t="str">
        <f t="shared" si="10"/>
        <v>172.29.10.69</v>
      </c>
      <c r="M113" s="32">
        <f t="shared" si="23"/>
        <v>37636</v>
      </c>
      <c r="N113" s="32" t="str">
        <f t="shared" si="11"/>
        <v>172.29.10.70</v>
      </c>
      <c r="O113" s="35">
        <f t="shared" si="17"/>
        <v>47636</v>
      </c>
      <c r="P113" s="35" t="s">
        <v>94</v>
      </c>
      <c r="Q113" s="36" t="s">
        <v>96</v>
      </c>
      <c r="R113" s="3" t="str">
        <f t="shared" si="14"/>
        <v>"6":{"type":"con","dst_persist":"n","src":{"37636":{"raddr":"172.29.10.69:0","mhdr":"iBHb2","name":"NODO-01"},"47636":{"raddr":"172.29.10.70:0","mhdr":"iBHb2","name":"NODO-02"}},"dst":{"mode":"client","raddr":"172.19.211.103:7636","mhdr":"iBHb2","name":"Base24-POS6-06"},"plugin": {"file":"slb_plugin_rm_biciso.so","type":"RM","args": {"nodrop":"n"}}}}},</v>
      </c>
    </row>
    <row r="114" spans="1:18" ht="15" thickBot="1">
      <c r="A114" s="21">
        <v>24</v>
      </c>
      <c r="B114" s="23" t="s">
        <v>193</v>
      </c>
      <c r="C114" s="23"/>
      <c r="D114" s="29">
        <v>1</v>
      </c>
      <c r="E114" s="22"/>
      <c r="F114" s="22" t="s">
        <v>8</v>
      </c>
      <c r="G114" s="22" t="s">
        <v>1389</v>
      </c>
      <c r="H114" s="17" t="s">
        <v>55</v>
      </c>
      <c r="I114" s="22"/>
      <c r="J114" s="22">
        <v>8615</v>
      </c>
      <c r="K114" s="32" t="s">
        <v>55</v>
      </c>
      <c r="L114" s="32" t="str">
        <f t="shared" si="10"/>
        <v>172.29.10.69</v>
      </c>
      <c r="M114" s="32">
        <f t="shared" si="23"/>
        <v>38615</v>
      </c>
      <c r="N114" s="32" t="str">
        <f t="shared" si="11"/>
        <v>172.29.10.70</v>
      </c>
      <c r="O114" s="35">
        <f t="shared" si="17"/>
        <v>48615</v>
      </c>
      <c r="P114" s="35" t="s">
        <v>94</v>
      </c>
      <c r="Q114" s="49" t="s">
        <v>95</v>
      </c>
      <c r="R114" s="3" t="str">
        <f t="shared" si="14"/>
        <v>"24":{"rules":{"1":{"type":"con","dst_persist":"n","src":{"38615":{"raddr":"172.29.10.69:0","mhdr":"BHb2","name":"NODO-01"},"48615":{"raddr":"172.29.10.70:0","mhdr":"BHb2","name":"NODO-02"}},"dst":{"mode":"server","raddr":"172.19.202.183:0","lport":"8615 BHb2","name":"Cencosud In 1"},"plugin": {"file":"slb_plugin_rm_biciso.so","type":"RM","args": {"nodrop":"n"}}},</v>
      </c>
    </row>
    <row r="115" spans="1:18" ht="15" thickBot="1">
      <c r="A115" s="21"/>
      <c r="B115" s="7" t="s">
        <v>194</v>
      </c>
      <c r="C115" s="18"/>
      <c r="D115" s="29">
        <v>2</v>
      </c>
      <c r="E115" s="22"/>
      <c r="F115" s="22" t="s">
        <v>8</v>
      </c>
      <c r="G115" s="22" t="s">
        <v>1389</v>
      </c>
      <c r="H115" s="17" t="s">
        <v>55</v>
      </c>
      <c r="I115" s="22"/>
      <c r="J115" s="22">
        <v>8715</v>
      </c>
      <c r="K115" s="32" t="s">
        <v>55</v>
      </c>
      <c r="L115" s="32" t="str">
        <f t="shared" si="10"/>
        <v>172.29.10.69</v>
      </c>
      <c r="M115" s="32">
        <f t="shared" si="23"/>
        <v>38715</v>
      </c>
      <c r="N115" s="32" t="str">
        <f t="shared" si="11"/>
        <v>172.29.10.70</v>
      </c>
      <c r="O115" s="35">
        <f t="shared" si="17"/>
        <v>48715</v>
      </c>
      <c r="P115" s="35" t="s">
        <v>94</v>
      </c>
      <c r="Q115" s="36" t="s">
        <v>95</v>
      </c>
      <c r="R115" s="3" t="str">
        <f t="shared" si="14"/>
        <v>"2":{"type":"con","dst_persist":"n","src":{"38715":{"raddr":"172.29.10.69:0","mhdr":"BHb2","name":"NODO-01"},"48715":{"raddr":"172.29.10.70:0","mhdr":"BHb2","name":"NODO-02"}},"dst":{"mode":"server","raddr":"172.19.202.183:0","lport":"8715 BHb2","name":"Cencosud In 2"},"plugin": {"file":"slb_plugin_rm_biciso.so","type":"RM","args": {"nodrop":"n"}}},</v>
      </c>
    </row>
    <row r="116" spans="1:18" ht="15" thickBot="1">
      <c r="A116" s="21"/>
      <c r="B116" s="7" t="s">
        <v>195</v>
      </c>
      <c r="C116" s="18"/>
      <c r="D116" s="29">
        <v>3</v>
      </c>
      <c r="E116" s="22"/>
      <c r="F116" s="22" t="s">
        <v>14</v>
      </c>
      <c r="G116" s="22"/>
      <c r="H116" s="17" t="s">
        <v>55</v>
      </c>
      <c r="I116" s="17" t="s">
        <v>236</v>
      </c>
      <c r="J116" s="22">
        <v>8615</v>
      </c>
      <c r="K116" s="32" t="s">
        <v>55</v>
      </c>
      <c r="L116" s="32" t="str">
        <f t="shared" si="10"/>
        <v>172.29.10.69</v>
      </c>
      <c r="M116" s="32">
        <f>J116+50000</f>
        <v>58615</v>
      </c>
      <c r="N116" s="32" t="str">
        <f t="shared" si="11"/>
        <v>172.29.10.70</v>
      </c>
      <c r="O116" s="35">
        <f>+M116+-30000</f>
        <v>28615</v>
      </c>
      <c r="P116" s="35" t="s">
        <v>94</v>
      </c>
      <c r="Q116" s="49" t="s">
        <v>95</v>
      </c>
      <c r="R116" s="3" t="str">
        <f t="shared" si="14"/>
        <v>"3":{"type":"con","dst_persist":"n","src":{"58615":{"raddr":"172.29.10.69:0","mhdr":"BHb2","name":"NODO-01"},"28615":{"raddr":"172.29.10.70:0","mhdr":"BHb2","name":"NODO-02"}},"dst":{"mode":"client","raddr":"172.19.211.102:8615","mhdr":"BHb2","name":"Cencosud Out 1"},"plugin": {"file":"slb_plugin_rm_biciso.so","type":"RM","args": {"nodrop":"n"}}},</v>
      </c>
    </row>
    <row r="117" spans="1:18" ht="15" thickBot="1">
      <c r="A117" s="21"/>
      <c r="B117" s="16" t="s">
        <v>196</v>
      </c>
      <c r="C117" s="125"/>
      <c r="D117" s="29">
        <v>4</v>
      </c>
      <c r="E117" s="22"/>
      <c r="F117" s="22" t="s">
        <v>14</v>
      </c>
      <c r="G117" s="22"/>
      <c r="H117" s="17" t="s">
        <v>55</v>
      </c>
      <c r="I117" s="17" t="s">
        <v>236</v>
      </c>
      <c r="J117" s="22">
        <v>8715</v>
      </c>
      <c r="K117" s="32" t="s">
        <v>55</v>
      </c>
      <c r="L117" s="32" t="str">
        <f t="shared" si="10"/>
        <v>172.29.10.69</v>
      </c>
      <c r="M117" s="32">
        <f>J117+50000</f>
        <v>58715</v>
      </c>
      <c r="N117" s="32" t="str">
        <f t="shared" si="11"/>
        <v>172.29.10.70</v>
      </c>
      <c r="O117" s="35">
        <f>+M117+-30000</f>
        <v>28715</v>
      </c>
      <c r="P117" s="35" t="s">
        <v>94</v>
      </c>
      <c r="Q117" s="36" t="s">
        <v>96</v>
      </c>
      <c r="R117" s="3" t="str">
        <f t="shared" si="14"/>
        <v>"4":{"type":"con","dst_persist":"n","src":{"58715":{"raddr":"172.29.10.69:0","mhdr":"BHb2","name":"NODO-01"},"28715":{"raddr":"172.29.10.70:0","mhdr":"BHb2","name":"NODO-02"}},"dst":{"mode":"client","raddr":"172.19.211.102:8715","mhdr":"BHb2","name":"Cencosud Out 2"},"plugin": {"file":"slb_plugin_rm_biciso.so","type":"RM","args": {"nodrop":"n"}}}}},</v>
      </c>
    </row>
    <row r="118" spans="1:18" ht="15" thickBot="1">
      <c r="A118" s="21">
        <v>25</v>
      </c>
      <c r="B118" s="23" t="s">
        <v>1428</v>
      </c>
      <c r="C118" s="23"/>
      <c r="D118" s="29">
        <v>1</v>
      </c>
      <c r="E118" s="93" t="s">
        <v>1263</v>
      </c>
      <c r="F118" s="29" t="s">
        <v>8</v>
      </c>
      <c r="G118" s="29" t="s">
        <v>1432</v>
      </c>
      <c r="H118" s="29" t="s">
        <v>55</v>
      </c>
      <c r="I118" s="29"/>
      <c r="J118" s="29">
        <v>8810</v>
      </c>
      <c r="K118" s="32" t="s">
        <v>55</v>
      </c>
      <c r="L118" s="35" t="str">
        <f t="shared" ref="L118:L121" si="24">+$B$2</f>
        <v>172.29.10.68</v>
      </c>
      <c r="M118" s="32">
        <f t="shared" ref="M118:M119" si="25">J118+30000</f>
        <v>38810</v>
      </c>
      <c r="N118" s="35" t="str">
        <f t="shared" ref="N118:N121" si="26">+$B$3</f>
        <v>172.29.10.69</v>
      </c>
      <c r="O118" s="35">
        <f t="shared" ref="O118:O119" si="27">+M118+10000</f>
        <v>48810</v>
      </c>
      <c r="P118" s="35" t="s">
        <v>94</v>
      </c>
      <c r="Q118" s="49" t="s">
        <v>95</v>
      </c>
      <c r="R118" s="3" t="str">
        <f t="shared" si="14"/>
        <v>"25":{"rules":{"1":{"type":"con","dst_persist":"n","src":{"38810":{"raddr":"172.29.10.68:0","mhdr":"BHb2","name":"NODO-01"},"48810":{"raddr":"172.29.10.69:0","mhdr":"BHb2","name":"NODO-02"}},"dst":{"mode":"server","raddr":"172.100.3.24:0","lport":"8810 BHb2","name":"ETEK In 1"},"plugin": {"file":"slb_plugin_rm_biciso.so","type":"RM","args": {"nodrop":"n"}}},</v>
      </c>
    </row>
    <row r="119" spans="1:18" ht="15" thickBot="1">
      <c r="A119" s="21"/>
      <c r="B119" s="7" t="s">
        <v>1429</v>
      </c>
      <c r="C119" s="7"/>
      <c r="D119" s="8">
        <v>2</v>
      </c>
      <c r="E119" s="43" t="s">
        <v>1264</v>
      </c>
      <c r="F119" s="8" t="s">
        <v>8</v>
      </c>
      <c r="G119" s="8" t="s">
        <v>1432</v>
      </c>
      <c r="H119" s="8" t="s">
        <v>55</v>
      </c>
      <c r="I119" s="8"/>
      <c r="J119" s="8">
        <v>8811</v>
      </c>
      <c r="K119" s="32" t="s">
        <v>55</v>
      </c>
      <c r="L119" s="35" t="str">
        <f t="shared" si="24"/>
        <v>172.29.10.68</v>
      </c>
      <c r="M119" s="32">
        <f t="shared" si="25"/>
        <v>38811</v>
      </c>
      <c r="N119" s="35" t="str">
        <f t="shared" si="26"/>
        <v>172.29.10.69</v>
      </c>
      <c r="O119" s="35">
        <f t="shared" si="27"/>
        <v>48811</v>
      </c>
      <c r="P119" s="35" t="s">
        <v>94</v>
      </c>
      <c r="Q119" s="36" t="s">
        <v>95</v>
      </c>
      <c r="R119" s="3" t="str">
        <f t="shared" si="14"/>
        <v>"2":{"type":"con","dst_persist":"n","src":{"38811":{"raddr":"172.29.10.68:0","mhdr":"BHb2","name":"NODO-01"},"48811":{"raddr":"172.29.10.69:0","mhdr":"BHb2","name":"NODO-02"}},"dst":{"mode":"server","raddr":"172.100.3.24:0","lport":"8811 BHb2","name":"ETEK In 2"},"plugin": {"file":"slb_plugin_rm_biciso.so","type":"RM","args": {"nodrop":"n"}}},</v>
      </c>
    </row>
    <row r="120" spans="1:18" ht="15" thickBot="1">
      <c r="A120" s="21"/>
      <c r="B120" s="7" t="s">
        <v>1430</v>
      </c>
      <c r="C120" s="7"/>
      <c r="D120" s="8">
        <v>3</v>
      </c>
      <c r="E120" s="43" t="s">
        <v>1265</v>
      </c>
      <c r="F120" s="8" t="s">
        <v>14</v>
      </c>
      <c r="G120" s="8"/>
      <c r="H120" s="8" t="s">
        <v>55</v>
      </c>
      <c r="I120" s="8" t="s">
        <v>236</v>
      </c>
      <c r="J120" s="8">
        <v>8810</v>
      </c>
      <c r="K120" s="32" t="s">
        <v>55</v>
      </c>
      <c r="L120" s="35" t="str">
        <f t="shared" si="24"/>
        <v>172.29.10.68</v>
      </c>
      <c r="M120" s="32">
        <f>J120+50000</f>
        <v>58810</v>
      </c>
      <c r="N120" s="35" t="str">
        <f t="shared" si="26"/>
        <v>172.29.10.69</v>
      </c>
      <c r="O120" s="35">
        <f>+M120+-30000</f>
        <v>28810</v>
      </c>
      <c r="P120" s="35" t="s">
        <v>94</v>
      </c>
      <c r="Q120" s="49" t="s">
        <v>95</v>
      </c>
      <c r="R120" s="3" t="str">
        <f t="shared" si="14"/>
        <v>"3":{"type":"con","dst_persist":"n","src":{"58810":{"raddr":"172.29.10.68:0","mhdr":"BHb2","name":"NODO-01"},"28810":{"raddr":"172.29.10.69:0","mhdr":"BHb2","name":"NODO-02"}},"dst":{"mode":"client","raddr":"172.19.211.102:8810","mhdr":"BHb2","name":"ETEK Out 1"},"plugin": {"file":"slb_plugin_rm_biciso.so","type":"RM","args": {"nodrop":"n"}}},</v>
      </c>
    </row>
    <row r="121" spans="1:18" ht="15" thickBot="1">
      <c r="A121" s="21"/>
      <c r="B121" s="16" t="s">
        <v>1431</v>
      </c>
      <c r="C121" s="16"/>
      <c r="D121" s="17">
        <v>4</v>
      </c>
      <c r="E121" s="44" t="s">
        <v>1266</v>
      </c>
      <c r="F121" s="17" t="s">
        <v>14</v>
      </c>
      <c r="G121" s="17"/>
      <c r="H121" s="17" t="s">
        <v>55</v>
      </c>
      <c r="I121" s="17" t="s">
        <v>236</v>
      </c>
      <c r="J121" s="17">
        <v>8811</v>
      </c>
      <c r="K121" s="32" t="s">
        <v>55</v>
      </c>
      <c r="L121" s="35" t="str">
        <f t="shared" si="24"/>
        <v>172.29.10.68</v>
      </c>
      <c r="M121" s="32">
        <f>J121+50000</f>
        <v>58811</v>
      </c>
      <c r="N121" s="35" t="str">
        <f t="shared" si="26"/>
        <v>172.29.10.69</v>
      </c>
      <c r="O121" s="35">
        <f>+M121+-30000</f>
        <v>28811</v>
      </c>
      <c r="P121" s="35" t="s">
        <v>94</v>
      </c>
      <c r="Q121" s="36" t="s">
        <v>126</v>
      </c>
      <c r="R121" s="3" t="str">
        <f t="shared" si="14"/>
        <v>"4":{"type":"con","dst_persist":"n","src":{"58811":{"raddr":"172.29.10.68:0","mhdr":"BHb2","name":"NODO-01"},"28811":{"raddr":"172.29.10.69:0","mhdr":"BHb2","name":"NODO-02"}},"dst":{"mode":"client","raddr":"172.19.211.102:8811","mhdr":"BHb2","name":"ETEK Out 2"},"plugin": {"file":"slb_plugin_rm_biciso.so","type":"RM","args": {"nodrop":"n"}}}}}</v>
      </c>
    </row>
    <row r="122" spans="1:18">
      <c r="R122" s="3" t="s">
        <v>0</v>
      </c>
    </row>
  </sheetData>
  <dataValidations count="1">
    <dataValidation type="list" allowBlank="1" showInputMessage="1" showErrorMessage="1" sqref="F1 F6:F121" xr:uid="{00000000-0002-0000-0100-000000000000}">
      <formula1>"server, client"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05"/>
  <sheetViews>
    <sheetView topLeftCell="A73" zoomScale="118" zoomScaleNormal="118" workbookViewId="0">
      <selection activeCell="G93" sqref="G93"/>
    </sheetView>
  </sheetViews>
  <sheetFormatPr defaultColWidth="8.7265625" defaultRowHeight="14.5"/>
  <cols>
    <col min="1" max="1" width="15.453125" bestFit="1" customWidth="1"/>
    <col min="2" max="2" width="41.1796875" bestFit="1" customWidth="1"/>
    <col min="3" max="3" width="22.6328125" customWidth="1"/>
    <col min="4" max="4" width="8.453125" customWidth="1"/>
    <col min="5" max="5" width="11.6328125" style="5" bestFit="1" customWidth="1"/>
    <col min="6" max="6" width="10.54296875" customWidth="1"/>
    <col min="7" max="7" width="15.453125" customWidth="1"/>
    <col min="8" max="8" width="10.1796875" customWidth="1"/>
    <col min="9" max="9" width="16" bestFit="1" customWidth="1"/>
    <col min="10" max="10" width="14.453125" bestFit="1" customWidth="1"/>
    <col min="11" max="11" width="11.81640625" customWidth="1"/>
    <col min="12" max="12" width="18" customWidth="1"/>
    <col min="13" max="13" width="10.1796875" bestFit="1" customWidth="1"/>
    <col min="14" max="14" width="12.54296875" bestFit="1" customWidth="1"/>
    <col min="15" max="15" width="10.1796875" bestFit="1" customWidth="1"/>
    <col min="16" max="16" width="27" customWidth="1"/>
    <col min="17" max="17" width="18" customWidth="1"/>
    <col min="18" max="18" width="53.7265625" style="4" customWidth="1"/>
  </cols>
  <sheetData>
    <row r="1" spans="1:18">
      <c r="A1" s="1" t="s">
        <v>1</v>
      </c>
      <c r="B1" t="s">
        <v>46</v>
      </c>
    </row>
    <row r="2" spans="1:18">
      <c r="A2" s="1" t="s">
        <v>3</v>
      </c>
      <c r="B2" t="s">
        <v>47</v>
      </c>
      <c r="G2" t="s">
        <v>394</v>
      </c>
      <c r="R2" s="3"/>
    </row>
    <row r="3" spans="1:18" ht="15" thickBot="1">
      <c r="A3" s="1" t="s">
        <v>4</v>
      </c>
      <c r="B3" t="s">
        <v>48</v>
      </c>
      <c r="G3" t="s">
        <v>395</v>
      </c>
      <c r="R3" s="3"/>
    </row>
    <row r="4" spans="1:18" ht="58.5" customHeight="1" thickBot="1">
      <c r="A4" s="24" t="s">
        <v>79</v>
      </c>
      <c r="B4" s="26" t="s">
        <v>9</v>
      </c>
      <c r="C4" s="26"/>
      <c r="D4" s="26" t="s">
        <v>7</v>
      </c>
      <c r="E4" s="26" t="s">
        <v>58</v>
      </c>
      <c r="F4" s="26" t="s">
        <v>27</v>
      </c>
      <c r="G4" s="26" t="s">
        <v>11</v>
      </c>
      <c r="H4" s="27" t="s">
        <v>61</v>
      </c>
      <c r="I4" s="26" t="s">
        <v>12</v>
      </c>
      <c r="J4" s="25" t="s">
        <v>15</v>
      </c>
      <c r="K4" s="31" t="s">
        <v>62</v>
      </c>
      <c r="L4" s="26" t="s">
        <v>23</v>
      </c>
      <c r="M4" s="26" t="s">
        <v>25</v>
      </c>
      <c r="N4" s="26" t="s">
        <v>24</v>
      </c>
      <c r="O4" s="26" t="s">
        <v>26</v>
      </c>
      <c r="P4" s="26" t="s">
        <v>93</v>
      </c>
      <c r="Q4" s="28" t="s">
        <v>54</v>
      </c>
      <c r="R4" s="3" t="str">
        <f>CONCATENATE("{""",B1,""":{""routers"":{")</f>
        <v>{"172.29.10.68":{"routers":{</v>
      </c>
    </row>
    <row r="5" spans="1:18">
      <c r="A5" s="47">
        <v>2</v>
      </c>
      <c r="B5" s="10" t="s">
        <v>10</v>
      </c>
      <c r="C5" s="10"/>
      <c r="D5" s="29">
        <v>102</v>
      </c>
      <c r="E5" s="29"/>
      <c r="F5" s="29" t="s">
        <v>8</v>
      </c>
      <c r="G5" s="11" t="s">
        <v>49</v>
      </c>
      <c r="H5" s="11" t="s">
        <v>55</v>
      </c>
      <c r="I5" s="29"/>
      <c r="J5" s="11">
        <v>6003</v>
      </c>
      <c r="K5" s="32" t="s">
        <v>55</v>
      </c>
      <c r="L5" s="32" t="str">
        <f t="shared" ref="L5:L68" si="0">+$B$2</f>
        <v>172.29.10.69</v>
      </c>
      <c r="M5" s="48">
        <v>30001</v>
      </c>
      <c r="N5" s="32" t="str">
        <f>+$B$3</f>
        <v>172.29.10.70</v>
      </c>
      <c r="O5" s="48">
        <f>+M5+10000</f>
        <v>40001</v>
      </c>
      <c r="P5" s="32" t="s">
        <v>141</v>
      </c>
      <c r="Q5" s="49" t="s">
        <v>95</v>
      </c>
      <c r="R5" s="3" t="str">
        <f>CONCATENATE(IF(A5&lt;&gt;"",CONCATENATE("""",A5,"""",":{","""","rules","""",":{"),""),"""",D5,""":{""type"":""con"",""Desc"":""",B5,""",""dst"":{""mode"":""",F5,""",""raddr"":""",IF(F5="server",G5,I5),":",IF(F5="server",0,J5),""",""",IF(F5="server","lport","rhdr"),""":""",IF(F5="server",J5,""),IF(F5="server"," ",""),H5,"""},""src"":{""",M5,""":{""raddr"":""",L5,":0"",""lhdr"":""",K5,"""","},","""",O5,""":{""raddr"":""",N5,":0"",""lhdr"":""",K5,IF(P5&lt;&gt;"",CONCATENATE("""}},","""plugin""",": {","""file""",":""",P5,""",","""type""",":","""","RM",""""),""""),Q5)</f>
        <v>"2":{"rules":{"102":{"type":"con","Desc":"MASTERCARD BNET PT In 1","dst":{"mode":"server","raddr":"172.16.4.11:0","lport":"6003 BHb2"},"src":{"30001":{"raddr":"172.29.10.69:0","lhdr":"BHb2"},"40001":{"raddr":"172.29.10.70:0","lhdr":"BHb2"}},"plugin": {"file":"slb_plugin_rm_mc.so","type":"RM"}},</v>
      </c>
    </row>
    <row r="6" spans="1:18">
      <c r="A6" s="30"/>
      <c r="B6" s="2" t="s">
        <v>16</v>
      </c>
      <c r="C6" s="2"/>
      <c r="D6" s="8">
        <v>202</v>
      </c>
      <c r="E6" s="8"/>
      <c r="F6" s="8" t="s">
        <v>8</v>
      </c>
      <c r="G6" s="6" t="s">
        <v>49</v>
      </c>
      <c r="H6" s="6" t="s">
        <v>55</v>
      </c>
      <c r="I6" s="8"/>
      <c r="J6" s="6">
        <v>7003</v>
      </c>
      <c r="K6" s="33" t="s">
        <v>55</v>
      </c>
      <c r="L6" s="33" t="str">
        <f t="shared" si="0"/>
        <v>172.29.10.69</v>
      </c>
      <c r="M6" s="46">
        <v>30002</v>
      </c>
      <c r="N6" s="33" t="str">
        <f>+$B$3</f>
        <v>172.29.10.70</v>
      </c>
      <c r="O6" s="46">
        <f t="shared" ref="O6:O12" si="1">+M6+10000</f>
        <v>40002</v>
      </c>
      <c r="P6" s="33" t="s">
        <v>141</v>
      </c>
      <c r="Q6" s="34" t="s">
        <v>95</v>
      </c>
      <c r="R6" s="3" t="str">
        <f t="shared" ref="R6:R52" si="2">CONCATENATE(IF(A6&lt;&gt;"",CONCATENATE("""",A6,"""",":{","""","rules","""",":{"),""),"""",D6,""":{""type"":""con"",""Desc"":""",B6,""",""dst"":{""mode"":""",F6,""",""raddr"":""",IF(F6="server",G6,I6),":",IF(F6="server",0,J6),""",""",IF(F6="server","lport","rhdr"),""":""",IF(F6="server",J6,""),IF(F6="server"," ",""),H6,"""},""src"":{""",M6,""":{""raddr"":""",L6,":0"",""lhdr"":""",K6,"""","},","""",O6,""":{""raddr"":""",N6,":0"",""lhdr"":""",K6,IF(P6&lt;&gt;"",CONCATENATE("""}},","""plugin""",": {","""file""",":""",P6,""",","""type""",":","""","RM",""""),""""),Q6)</f>
        <v>"202":{"type":"con","Desc":"MASTERCARD BNET PT In 2","dst":{"mode":"server","raddr":"172.16.4.11:0","lport":"7003 BHb2"},"src":{"30002":{"raddr":"172.29.10.69:0","lhdr":"BHb2"},"40002":{"raddr":"172.29.10.70:0","lhdr":"BHb2"}},"plugin": {"file":"slb_plugin_rm_mc.so","type":"RM"}},</v>
      </c>
    </row>
    <row r="7" spans="1:18">
      <c r="A7" s="30"/>
      <c r="B7" s="2" t="s">
        <v>17</v>
      </c>
      <c r="C7" s="2"/>
      <c r="D7" s="8">
        <v>302</v>
      </c>
      <c r="E7" s="8"/>
      <c r="F7" s="8" t="s">
        <v>8</v>
      </c>
      <c r="G7" s="6" t="s">
        <v>53</v>
      </c>
      <c r="H7" s="6" t="s">
        <v>55</v>
      </c>
      <c r="I7" s="8"/>
      <c r="J7" s="6">
        <v>6004</v>
      </c>
      <c r="K7" s="33" t="s">
        <v>55</v>
      </c>
      <c r="L7" s="33" t="str">
        <f t="shared" si="0"/>
        <v>172.29.10.69</v>
      </c>
      <c r="M7" s="46">
        <v>30003</v>
      </c>
      <c r="N7" s="33" t="str">
        <f>+$B$3</f>
        <v>172.29.10.70</v>
      </c>
      <c r="O7" s="46">
        <f t="shared" si="1"/>
        <v>40003</v>
      </c>
      <c r="P7" s="33" t="s">
        <v>141</v>
      </c>
      <c r="Q7" s="34" t="s">
        <v>95</v>
      </c>
      <c r="R7" s="3" t="str">
        <f t="shared" si="2"/>
        <v>"302":{"type":"con","Desc":"MASTERCARD MDS PT In 1","dst":{"mode":"server","raddr":"172.16.4.52:0","lport":"6004 BHb2"},"src":{"30003":{"raddr":"172.29.10.69:0","lhdr":"BHb2"},"40003":{"raddr":"172.29.10.70:0","lhdr":"BHb2"}},"plugin": {"file":"slb_plugin_rm_mc.so","type":"RM"}},</v>
      </c>
    </row>
    <row r="8" spans="1:18">
      <c r="A8" s="30"/>
      <c r="B8" s="2" t="s">
        <v>18</v>
      </c>
      <c r="C8" s="2"/>
      <c r="D8" s="8">
        <v>402</v>
      </c>
      <c r="E8" s="8"/>
      <c r="F8" s="8" t="s">
        <v>8</v>
      </c>
      <c r="G8" s="6" t="s">
        <v>53</v>
      </c>
      <c r="H8" s="6" t="s">
        <v>55</v>
      </c>
      <c r="I8" s="8"/>
      <c r="J8" s="6">
        <v>7004</v>
      </c>
      <c r="K8" s="33" t="s">
        <v>55</v>
      </c>
      <c r="L8" s="33" t="str">
        <f t="shared" si="0"/>
        <v>172.29.10.69</v>
      </c>
      <c r="M8" s="46">
        <v>30004</v>
      </c>
      <c r="N8" s="33" t="str">
        <f>+$B$3</f>
        <v>172.29.10.70</v>
      </c>
      <c r="O8" s="46">
        <f t="shared" si="1"/>
        <v>40004</v>
      </c>
      <c r="P8" s="33" t="s">
        <v>141</v>
      </c>
      <c r="Q8" s="34" t="s">
        <v>95</v>
      </c>
      <c r="R8" s="3" t="str">
        <f t="shared" si="2"/>
        <v>"402":{"type":"con","Desc":"MASTERCARD MDS PT In 2","dst":{"mode":"server","raddr":"172.16.4.52:0","lport":"7004 BHb2"},"src":{"30004":{"raddr":"172.29.10.69:0","lhdr":"BHb2"},"40004":{"raddr":"172.29.10.70:0","lhdr":"BHb2"}},"plugin": {"file":"slb_plugin_rm_mc.so","type":"RM"}},</v>
      </c>
    </row>
    <row r="9" spans="1:18">
      <c r="A9" s="12"/>
      <c r="B9" s="2" t="s">
        <v>19</v>
      </c>
      <c r="C9" s="2"/>
      <c r="D9" s="6">
        <v>502</v>
      </c>
      <c r="E9" s="6"/>
      <c r="F9" s="6" t="s">
        <v>14</v>
      </c>
      <c r="G9" s="6"/>
      <c r="H9" s="6" t="s">
        <v>55</v>
      </c>
      <c r="I9" s="6" t="s">
        <v>50</v>
      </c>
      <c r="J9" s="6">
        <v>6003</v>
      </c>
      <c r="K9" s="33" t="s">
        <v>55</v>
      </c>
      <c r="L9" s="33" t="str">
        <f>+$B$2</f>
        <v>172.29.10.69</v>
      </c>
      <c r="M9" s="46">
        <v>30005</v>
      </c>
      <c r="N9" s="33" t="str">
        <f>+$B$3</f>
        <v>172.29.10.70</v>
      </c>
      <c r="O9" s="46">
        <f t="shared" si="1"/>
        <v>40005</v>
      </c>
      <c r="P9" s="33" t="s">
        <v>141</v>
      </c>
      <c r="Q9" s="34" t="s">
        <v>95</v>
      </c>
      <c r="R9" s="3" t="str">
        <f t="shared" si="2"/>
        <v>"502":{"type":"con","Desc":"MASTERCARD BNET PT Out 1","dst":{"mode":"client","raddr":"10.122.133.55:6003","rhdr":"BHb2"},"src":{"30005":{"raddr":"172.29.10.69:0","lhdr":"BHb2"},"40005":{"raddr":"172.29.10.70:0","lhdr":"BHb2"}},"plugin": {"file":"slb_plugin_rm_mc.so","type":"RM"}},</v>
      </c>
    </row>
    <row r="10" spans="1:18">
      <c r="A10" s="12"/>
      <c r="B10" s="2" t="s">
        <v>21</v>
      </c>
      <c r="C10" s="2"/>
      <c r="D10" s="6">
        <v>602</v>
      </c>
      <c r="E10" s="6"/>
      <c r="F10" s="6" t="s">
        <v>14</v>
      </c>
      <c r="G10" s="6"/>
      <c r="H10" s="6" t="s">
        <v>55</v>
      </c>
      <c r="I10" s="6" t="s">
        <v>51</v>
      </c>
      <c r="J10" s="6">
        <v>7003</v>
      </c>
      <c r="K10" s="33" t="s">
        <v>55</v>
      </c>
      <c r="L10" s="33" t="str">
        <f t="shared" si="0"/>
        <v>172.29.10.69</v>
      </c>
      <c r="M10" s="46">
        <v>30006</v>
      </c>
      <c r="N10" s="33" t="str">
        <f t="shared" ref="N10:N73" si="3">+$B$3</f>
        <v>172.29.10.70</v>
      </c>
      <c r="O10" s="46">
        <f t="shared" si="1"/>
        <v>40006</v>
      </c>
      <c r="P10" s="33" t="s">
        <v>141</v>
      </c>
      <c r="Q10" s="34" t="s">
        <v>95</v>
      </c>
      <c r="R10" s="3" t="str">
        <f t="shared" si="2"/>
        <v>"602":{"type":"con","Desc":"MASTERCARD BNET PT Out 2","dst":{"mode":"client","raddr":"10.122.133.56:7003","rhdr":"BHb2"},"src":{"30006":{"raddr":"172.29.10.69:0","lhdr":"BHb2"},"40006":{"raddr":"172.29.10.70:0","lhdr":"BHb2"}},"plugin": {"file":"slb_plugin_rm_mc.so","type":"RM"}},</v>
      </c>
    </row>
    <row r="11" spans="1:18">
      <c r="A11" s="12"/>
      <c r="B11" s="2" t="s">
        <v>20</v>
      </c>
      <c r="C11" s="2"/>
      <c r="D11" s="6">
        <v>702</v>
      </c>
      <c r="E11" s="6"/>
      <c r="F11" s="6" t="s">
        <v>14</v>
      </c>
      <c r="G11" s="6"/>
      <c r="H11" s="6" t="s">
        <v>55</v>
      </c>
      <c r="I11" s="6" t="s">
        <v>50</v>
      </c>
      <c r="J11" s="6">
        <v>6004</v>
      </c>
      <c r="K11" s="33" t="s">
        <v>55</v>
      </c>
      <c r="L11" s="33" t="str">
        <f t="shared" si="0"/>
        <v>172.29.10.69</v>
      </c>
      <c r="M11" s="46">
        <v>30007</v>
      </c>
      <c r="N11" s="33" t="str">
        <f t="shared" si="3"/>
        <v>172.29.10.70</v>
      </c>
      <c r="O11" s="46">
        <f t="shared" si="1"/>
        <v>40007</v>
      </c>
      <c r="P11" s="33" t="s">
        <v>141</v>
      </c>
      <c r="Q11" s="34" t="s">
        <v>95</v>
      </c>
      <c r="R11" s="3" t="str">
        <f t="shared" si="2"/>
        <v>"702":{"type":"con","Desc":"MASTERCARD MDS PT Out 1","dst":{"mode":"client","raddr":"10.122.133.55:6004","rhdr":"BHb2"},"src":{"30007":{"raddr":"172.29.10.69:0","lhdr":"BHb2"},"40007":{"raddr":"172.29.10.70:0","lhdr":"BHb2"}},"plugin": {"file":"slb_plugin_rm_mc.so","type":"RM"}},</v>
      </c>
    </row>
    <row r="12" spans="1:18" ht="15" thickBot="1">
      <c r="A12" s="13"/>
      <c r="B12" s="14" t="s">
        <v>22</v>
      </c>
      <c r="C12" s="14"/>
      <c r="D12" s="15">
        <v>802</v>
      </c>
      <c r="E12" s="15"/>
      <c r="F12" s="15" t="s">
        <v>14</v>
      </c>
      <c r="G12" s="15"/>
      <c r="H12" s="15" t="s">
        <v>55</v>
      </c>
      <c r="I12" s="15" t="s">
        <v>51</v>
      </c>
      <c r="J12" s="15">
        <v>7004</v>
      </c>
      <c r="K12" s="35" t="s">
        <v>55</v>
      </c>
      <c r="L12" s="35" t="str">
        <f t="shared" si="0"/>
        <v>172.29.10.69</v>
      </c>
      <c r="M12" s="50">
        <v>30008</v>
      </c>
      <c r="N12" s="35" t="str">
        <f t="shared" si="3"/>
        <v>172.29.10.70</v>
      </c>
      <c r="O12" s="50">
        <f t="shared" si="1"/>
        <v>40008</v>
      </c>
      <c r="P12" s="35" t="s">
        <v>141</v>
      </c>
      <c r="Q12" s="36" t="s">
        <v>96</v>
      </c>
      <c r="R12" s="3" t="str">
        <f t="shared" si="2"/>
        <v>"802":{"type":"con","Desc":"MASTERCARD MDS PT Out 2","dst":{"mode":"client","raddr":"10.122.133.56:7004","rhdr":"BHb2"},"src":{"30008":{"raddr":"172.29.10.69:0","lhdr":"BHb2"},"40008":{"raddr":"172.29.10.70:0","lhdr":"BHb2"}},"plugin": {"file":"slb_plugin_rm_mc.so","type":"RM"}}}},</v>
      </c>
    </row>
    <row r="13" spans="1:18">
      <c r="A13" s="47">
        <v>3</v>
      </c>
      <c r="B13" s="23" t="s">
        <v>40</v>
      </c>
      <c r="C13" s="23"/>
      <c r="D13" s="29">
        <v>103</v>
      </c>
      <c r="E13" s="29"/>
      <c r="F13" s="29" t="s">
        <v>8</v>
      </c>
      <c r="G13" s="29" t="s">
        <v>60</v>
      </c>
      <c r="H13" s="29" t="s">
        <v>56</v>
      </c>
      <c r="I13" s="29"/>
      <c r="J13" s="29">
        <v>7095</v>
      </c>
      <c r="K13" s="32" t="s">
        <v>56</v>
      </c>
      <c r="L13" s="32" t="str">
        <f t="shared" si="0"/>
        <v>172.29.10.69</v>
      </c>
      <c r="M13" s="48">
        <v>30150</v>
      </c>
      <c r="N13" s="32" t="str">
        <f t="shared" si="3"/>
        <v>172.29.10.70</v>
      </c>
      <c r="O13" s="48">
        <f>+M13+10000</f>
        <v>40150</v>
      </c>
      <c r="P13" s="32" t="s">
        <v>94</v>
      </c>
      <c r="Q13" s="49" t="s">
        <v>95</v>
      </c>
      <c r="R13" s="3" t="str">
        <f t="shared" si="2"/>
        <v>"3":{"rules":{"103":{"type":"con","Desc":"RBM (B24-SV) ADQUIRIENTE PT In","dst":{"mode":"server","raddr":"10.1.3.36:0","lport":"7095 cbco"},"src":{"30150":{"raddr":"172.29.10.69:0","lhdr":"cbco"},"40150":{"raddr":"172.29.10.70:0","lhdr":"cbco"}},"plugin": {"file":"slb_plugin_rm_biciso.so","type":"RM"}},</v>
      </c>
    </row>
    <row r="14" spans="1:18">
      <c r="A14" s="30"/>
      <c r="B14" s="7" t="s">
        <v>41</v>
      </c>
      <c r="C14" s="7"/>
      <c r="D14" s="8">
        <v>203</v>
      </c>
      <c r="E14" s="8"/>
      <c r="F14" s="8" t="s">
        <v>14</v>
      </c>
      <c r="G14" s="8"/>
      <c r="H14" s="8" t="s">
        <v>56</v>
      </c>
      <c r="I14" s="8" t="s">
        <v>60</v>
      </c>
      <c r="J14" s="8">
        <v>3011</v>
      </c>
      <c r="K14" s="33" t="s">
        <v>56</v>
      </c>
      <c r="L14" s="33" t="str">
        <f t="shared" si="0"/>
        <v>172.29.10.69</v>
      </c>
      <c r="M14" s="46">
        <v>30160</v>
      </c>
      <c r="N14" s="33" t="str">
        <f t="shared" si="3"/>
        <v>172.29.10.70</v>
      </c>
      <c r="O14" s="46">
        <f>+M14+10000</f>
        <v>40160</v>
      </c>
      <c r="P14" s="33" t="s">
        <v>94</v>
      </c>
      <c r="Q14" s="34" t="s">
        <v>95</v>
      </c>
      <c r="R14" s="3" t="str">
        <f t="shared" si="2"/>
        <v>"203":{"type":"con","Desc":"RBM (B24-SV) ADQUIRIENTE PT Out","dst":{"mode":"client","raddr":"10.1.3.36:3011","rhdr":"cbco"},"src":{"30160":{"raddr":"172.29.10.69:0","lhdr":"cbco"},"40160":{"raddr":"172.29.10.70:0","lhdr":"cbco"}},"plugin": {"file":"slb_plugin_rm_biciso.so","type":"RM"}},</v>
      </c>
    </row>
    <row r="15" spans="1:18">
      <c r="A15" s="30"/>
      <c r="B15" s="7" t="s">
        <v>44</v>
      </c>
      <c r="C15" s="7"/>
      <c r="D15" s="8">
        <v>303</v>
      </c>
      <c r="E15" s="8"/>
      <c r="F15" s="8" t="s">
        <v>14</v>
      </c>
      <c r="G15" s="8"/>
      <c r="H15" s="8" t="s">
        <v>56</v>
      </c>
      <c r="I15" s="8" t="s">
        <v>59</v>
      </c>
      <c r="J15" s="8">
        <v>7095</v>
      </c>
      <c r="K15" s="33" t="s">
        <v>56</v>
      </c>
      <c r="L15" s="33" t="str">
        <f t="shared" si="0"/>
        <v>172.29.10.69</v>
      </c>
      <c r="M15" s="46">
        <v>30190</v>
      </c>
      <c r="N15" s="33" t="str">
        <f t="shared" si="3"/>
        <v>172.29.10.70</v>
      </c>
      <c r="O15" s="46">
        <f>+M15+10000</f>
        <v>40190</v>
      </c>
      <c r="P15" s="33" t="s">
        <v>94</v>
      </c>
      <c r="Q15" s="34" t="s">
        <v>95</v>
      </c>
      <c r="R15" s="3" t="str">
        <f t="shared" si="2"/>
        <v>"303":{"type":"con","Desc":"RBM (SV-RBM) ADQUIRIENTE PT Out","dst":{"mode":"client","raddr":"172.17.95.1:7095","rhdr":"cbco"},"src":{"30190":{"raddr":"172.29.10.69:0","lhdr":"cbco"},"40190":{"raddr":"172.29.10.70:0","lhdr":"cbco"}},"plugin": {"file":"slb_plugin_rm_biciso.so","type":"RM"}},</v>
      </c>
    </row>
    <row r="16" spans="1:18">
      <c r="A16" s="30"/>
      <c r="B16" s="7" t="s">
        <v>45</v>
      </c>
      <c r="C16" s="7"/>
      <c r="D16" s="8">
        <v>403</v>
      </c>
      <c r="E16" s="8"/>
      <c r="F16" s="8" t="s">
        <v>8</v>
      </c>
      <c r="G16" s="8" t="s">
        <v>59</v>
      </c>
      <c r="H16" s="8" t="s">
        <v>56</v>
      </c>
      <c r="I16" s="8"/>
      <c r="J16" s="8">
        <v>3011</v>
      </c>
      <c r="K16" s="33" t="s">
        <v>56</v>
      </c>
      <c r="L16" s="33" t="str">
        <f t="shared" si="0"/>
        <v>172.29.10.69</v>
      </c>
      <c r="M16" s="46">
        <v>30200</v>
      </c>
      <c r="N16" s="33" t="str">
        <f t="shared" si="3"/>
        <v>172.29.10.70</v>
      </c>
      <c r="O16" s="46">
        <f>+M16+10000</f>
        <v>40200</v>
      </c>
      <c r="P16" s="33" t="s">
        <v>94</v>
      </c>
      <c r="Q16" s="34" t="s">
        <v>95</v>
      </c>
      <c r="R16" s="3" t="str">
        <f t="shared" si="2"/>
        <v>"403":{"type":"con","Desc":"RBM (SV-RBM) ADQUIRIENTE PT In","dst":{"mode":"server","raddr":"172.17.95.1:0","lport":"3011 cbco"},"src":{"30200":{"raddr":"172.29.10.69:0","lhdr":"cbco"},"40200":{"raddr":"172.29.10.70:0","lhdr":"cbco"}},"plugin": {"file":"slb_plugin_rm_biciso.so","type":"RM"}},</v>
      </c>
    </row>
    <row r="17" spans="1:18">
      <c r="A17" s="30"/>
      <c r="B17" s="7" t="s">
        <v>38</v>
      </c>
      <c r="C17" s="7"/>
      <c r="D17" s="8">
        <v>503</v>
      </c>
      <c r="E17" s="8"/>
      <c r="F17" s="8" t="s">
        <v>8</v>
      </c>
      <c r="G17" s="8" t="s">
        <v>63</v>
      </c>
      <c r="H17" s="8" t="s">
        <v>56</v>
      </c>
      <c r="I17" s="8"/>
      <c r="J17" s="8">
        <v>7096</v>
      </c>
      <c r="K17" s="33" t="s">
        <v>56</v>
      </c>
      <c r="L17" s="33" t="str">
        <f t="shared" si="0"/>
        <v>172.29.10.69</v>
      </c>
      <c r="M17" s="46">
        <v>30130</v>
      </c>
      <c r="N17" s="33" t="str">
        <f t="shared" si="3"/>
        <v>172.29.10.70</v>
      </c>
      <c r="O17" s="46">
        <f t="shared" ref="O17:O36" si="4">+M17+10000</f>
        <v>40130</v>
      </c>
      <c r="P17" s="33" t="s">
        <v>94</v>
      </c>
      <c r="Q17" s="34" t="s">
        <v>95</v>
      </c>
      <c r="R17" s="3" t="str">
        <f t="shared" si="2"/>
        <v>"503":{"type":"con","Desc":"RBM (B24-SV) EMISOR PT In","dst":{"mode":"server","raddr":"10.1.3.34:0","lport":"7096 cbco"},"src":{"30130":{"raddr":"172.29.10.69:0","lhdr":"cbco"},"40130":{"raddr":"172.29.10.70:0","lhdr":"cbco"}},"plugin": {"file":"slb_plugin_rm_biciso.so","type":"RM"}},</v>
      </c>
    </row>
    <row r="18" spans="1:18">
      <c r="A18" s="30"/>
      <c r="B18" s="7" t="s">
        <v>39</v>
      </c>
      <c r="C18" s="7"/>
      <c r="D18" s="8">
        <v>603</v>
      </c>
      <c r="E18" s="8"/>
      <c r="F18" s="8" t="s">
        <v>14</v>
      </c>
      <c r="G18" s="8"/>
      <c r="H18" s="8" t="s">
        <v>56</v>
      </c>
      <c r="I18" s="8" t="s">
        <v>63</v>
      </c>
      <c r="J18" s="8">
        <v>4011</v>
      </c>
      <c r="K18" s="33" t="s">
        <v>56</v>
      </c>
      <c r="L18" s="33" t="str">
        <f t="shared" si="0"/>
        <v>172.29.10.69</v>
      </c>
      <c r="M18" s="46">
        <v>30140</v>
      </c>
      <c r="N18" s="33" t="str">
        <f t="shared" si="3"/>
        <v>172.29.10.70</v>
      </c>
      <c r="O18" s="46">
        <f t="shared" si="4"/>
        <v>40140</v>
      </c>
      <c r="P18" s="33" t="s">
        <v>94</v>
      </c>
      <c r="Q18" s="34" t="s">
        <v>95</v>
      </c>
      <c r="R18" s="3" t="str">
        <f t="shared" si="2"/>
        <v>"603":{"type":"con","Desc":"RBM (B24-SV) EMISOR PT Out","dst":{"mode":"client","raddr":"10.1.3.34:4011","rhdr":"cbco"},"src":{"30140":{"raddr":"172.29.10.69:0","lhdr":"cbco"},"40140":{"raddr":"172.29.10.70:0","lhdr":"cbco"}},"plugin": {"file":"slb_plugin_rm_biciso.so","type":"RM"}},</v>
      </c>
    </row>
    <row r="19" spans="1:18">
      <c r="A19" s="30"/>
      <c r="B19" s="7" t="s">
        <v>42</v>
      </c>
      <c r="C19" s="7"/>
      <c r="D19" s="8">
        <v>703</v>
      </c>
      <c r="E19" s="8"/>
      <c r="F19" s="8" t="s">
        <v>14</v>
      </c>
      <c r="G19" s="8"/>
      <c r="H19" s="8" t="s">
        <v>56</v>
      </c>
      <c r="I19" s="8" t="s">
        <v>59</v>
      </c>
      <c r="J19" s="8">
        <v>7096</v>
      </c>
      <c r="K19" s="33" t="s">
        <v>56</v>
      </c>
      <c r="L19" s="33" t="str">
        <f t="shared" si="0"/>
        <v>172.29.10.69</v>
      </c>
      <c r="M19" s="46">
        <v>30170</v>
      </c>
      <c r="N19" s="33" t="str">
        <f t="shared" si="3"/>
        <v>172.29.10.70</v>
      </c>
      <c r="O19" s="46">
        <f t="shared" si="4"/>
        <v>40170</v>
      </c>
      <c r="P19" s="33" t="s">
        <v>94</v>
      </c>
      <c r="Q19" s="34" t="s">
        <v>95</v>
      </c>
      <c r="R19" s="3" t="str">
        <f t="shared" si="2"/>
        <v>"703":{"type":"con","Desc":"RBM (SV-RBM) EMISOR PT Out","dst":{"mode":"client","raddr":"172.17.95.1:7096","rhdr":"cbco"},"src":{"30170":{"raddr":"172.29.10.69:0","lhdr":"cbco"},"40170":{"raddr":"172.29.10.70:0","lhdr":"cbco"}},"plugin": {"file":"slb_plugin_rm_biciso.so","type":"RM"}},</v>
      </c>
    </row>
    <row r="20" spans="1:18" ht="15" thickBot="1">
      <c r="A20" s="40"/>
      <c r="B20" s="16" t="s">
        <v>43</v>
      </c>
      <c r="C20" s="16"/>
      <c r="D20" s="17">
        <v>803</v>
      </c>
      <c r="E20" s="17"/>
      <c r="F20" s="17" t="s">
        <v>8</v>
      </c>
      <c r="G20" s="17" t="s">
        <v>59</v>
      </c>
      <c r="H20" s="17" t="s">
        <v>56</v>
      </c>
      <c r="I20" s="17"/>
      <c r="J20" s="17">
        <v>4011</v>
      </c>
      <c r="K20" s="35" t="s">
        <v>56</v>
      </c>
      <c r="L20" s="35" t="str">
        <f t="shared" si="0"/>
        <v>172.29.10.69</v>
      </c>
      <c r="M20" s="50">
        <v>30180</v>
      </c>
      <c r="N20" s="35" t="str">
        <f t="shared" si="3"/>
        <v>172.29.10.70</v>
      </c>
      <c r="O20" s="50">
        <f t="shared" si="4"/>
        <v>40180</v>
      </c>
      <c r="P20" s="35" t="s">
        <v>94</v>
      </c>
      <c r="Q20" s="36" t="s">
        <v>96</v>
      </c>
      <c r="R20" s="3" t="str">
        <f t="shared" si="2"/>
        <v>"803":{"type":"con","Desc":"RBM (SV-RBM) EMISOR PT In","dst":{"mode":"server","raddr":"172.17.95.1:0","lport":"4011 cbco"},"src":{"30180":{"raddr":"172.29.10.69:0","lhdr":"cbco"},"40180":{"raddr":"172.29.10.70:0","lhdr":"cbco"}},"plugin": {"file":"slb_plugin_rm_biciso.so","type":"RM"}}}},</v>
      </c>
    </row>
    <row r="21" spans="1:18">
      <c r="A21" s="9">
        <v>4</v>
      </c>
      <c r="B21" s="10" t="s">
        <v>133</v>
      </c>
      <c r="C21" s="10"/>
      <c r="D21" s="11">
        <v>104</v>
      </c>
      <c r="E21" s="11"/>
      <c r="F21" s="11" t="s">
        <v>8</v>
      </c>
      <c r="G21" s="11" t="s">
        <v>229</v>
      </c>
      <c r="H21" s="11" t="s">
        <v>56</v>
      </c>
      <c r="I21" s="11"/>
      <c r="J21" s="11">
        <v>35903</v>
      </c>
      <c r="K21" s="32" t="s">
        <v>56</v>
      </c>
      <c r="L21" s="32" t="str">
        <f t="shared" si="0"/>
        <v>172.29.10.69</v>
      </c>
      <c r="M21" s="32">
        <v>30010</v>
      </c>
      <c r="N21" s="32" t="str">
        <f t="shared" si="3"/>
        <v>172.29.10.70</v>
      </c>
      <c r="O21" s="32">
        <f t="shared" si="4"/>
        <v>40010</v>
      </c>
      <c r="P21" s="32" t="s">
        <v>136</v>
      </c>
      <c r="Q21" s="49" t="s">
        <v>95</v>
      </c>
      <c r="R21" s="3" t="str">
        <f t="shared" si="2"/>
        <v>"4":{"rules":{"104":{"type":"con","Desc":"AMEX COLPATRIA PT In 1","dst":{"mode":"server","raddr":"172.16.4.10:0","lport":"35903 cbco"},"src":{"30010":{"raddr":"172.29.10.69:0","lhdr":"cbco"},"40010":{"raddr":"172.29.10.70:0","lhdr":"cbco"}},"plugin": {"file":"slb_plugin_rm_amex.so","type":"RM"}},</v>
      </c>
    </row>
    <row r="22" spans="1:18">
      <c r="A22" s="12"/>
      <c r="B22" s="2" t="s">
        <v>134</v>
      </c>
      <c r="C22" s="2"/>
      <c r="D22" s="6">
        <v>204</v>
      </c>
      <c r="E22" s="6"/>
      <c r="F22" s="6" t="s">
        <v>8</v>
      </c>
      <c r="G22" s="6" t="s">
        <v>229</v>
      </c>
      <c r="H22" s="6" t="s">
        <v>56</v>
      </c>
      <c r="I22" s="6"/>
      <c r="J22" s="6">
        <v>35904</v>
      </c>
      <c r="K22" s="33" t="s">
        <v>56</v>
      </c>
      <c r="L22" s="33" t="str">
        <f t="shared" si="0"/>
        <v>172.29.10.69</v>
      </c>
      <c r="M22" s="33">
        <v>30020</v>
      </c>
      <c r="N22" s="33" t="str">
        <f t="shared" si="3"/>
        <v>172.29.10.70</v>
      </c>
      <c r="O22" s="33">
        <f t="shared" si="4"/>
        <v>40020</v>
      </c>
      <c r="P22" s="33" t="s">
        <v>136</v>
      </c>
      <c r="Q22" s="34" t="s">
        <v>95</v>
      </c>
      <c r="R22" s="3" t="str">
        <f t="shared" si="2"/>
        <v>"204":{"type":"con","Desc":"AMEX COLPATRIA PT In 2","dst":{"mode":"server","raddr":"172.16.4.10:0","lport":"35904 cbco"},"src":{"30020":{"raddr":"172.29.10.69:0","lhdr":"cbco"},"40020":{"raddr":"172.29.10.70:0","lhdr":"cbco"}},"plugin": {"file":"slb_plugin_rm_amex.so","type":"RM"}},</v>
      </c>
    </row>
    <row r="23" spans="1:18">
      <c r="A23" s="12"/>
      <c r="B23" s="2" t="s">
        <v>32</v>
      </c>
      <c r="C23" s="2"/>
      <c r="D23" s="6">
        <v>304</v>
      </c>
      <c r="E23" s="6"/>
      <c r="F23" s="6" t="s">
        <v>14</v>
      </c>
      <c r="G23" s="6"/>
      <c r="H23" s="6" t="s">
        <v>56</v>
      </c>
      <c r="I23" s="6" t="s">
        <v>230</v>
      </c>
      <c r="J23" s="6">
        <v>35903</v>
      </c>
      <c r="K23" s="33" t="s">
        <v>56</v>
      </c>
      <c r="L23" s="33" t="str">
        <f t="shared" si="0"/>
        <v>172.29.10.69</v>
      </c>
      <c r="M23" s="33">
        <v>30070</v>
      </c>
      <c r="N23" s="33" t="str">
        <f t="shared" si="3"/>
        <v>172.29.10.70</v>
      </c>
      <c r="O23" s="33">
        <f t="shared" si="4"/>
        <v>40070</v>
      </c>
      <c r="P23" s="33" t="s">
        <v>136</v>
      </c>
      <c r="Q23" s="34" t="s">
        <v>95</v>
      </c>
      <c r="R23" s="3" t="str">
        <f t="shared" si="2"/>
        <v>"304":{"type":"con","Desc":"AMEX COLPATRIA PT Out 1","dst":{"mode":"client","raddr":"172.19.209.54:35903","rhdr":"cbco"},"src":{"30070":{"raddr":"172.29.10.69:0","lhdr":"cbco"},"40070":{"raddr":"172.29.10.70:0","lhdr":"cbco"}},"plugin": {"file":"slb_plugin_rm_amex.so","type":"RM"}},</v>
      </c>
    </row>
    <row r="24" spans="1:18" ht="15" thickBot="1">
      <c r="A24" s="13"/>
      <c r="B24" s="14" t="s">
        <v>33</v>
      </c>
      <c r="C24" s="14"/>
      <c r="D24" s="15">
        <v>404</v>
      </c>
      <c r="E24" s="15"/>
      <c r="F24" s="15" t="s">
        <v>14</v>
      </c>
      <c r="G24" s="15"/>
      <c r="H24" s="15" t="s">
        <v>56</v>
      </c>
      <c r="I24" s="15" t="s">
        <v>230</v>
      </c>
      <c r="J24" s="15">
        <v>35904</v>
      </c>
      <c r="K24" s="35" t="s">
        <v>56</v>
      </c>
      <c r="L24" s="35" t="str">
        <f t="shared" si="0"/>
        <v>172.29.10.69</v>
      </c>
      <c r="M24" s="35">
        <v>30080</v>
      </c>
      <c r="N24" s="35" t="str">
        <f t="shared" si="3"/>
        <v>172.29.10.70</v>
      </c>
      <c r="O24" s="35">
        <f t="shared" si="4"/>
        <v>40080</v>
      </c>
      <c r="P24" s="35" t="s">
        <v>136</v>
      </c>
      <c r="Q24" s="36" t="s">
        <v>96</v>
      </c>
      <c r="R24" s="3" t="str">
        <f t="shared" si="2"/>
        <v>"404":{"type":"con","Desc":"AMEX COLPATRIA PT Out 2","dst":{"mode":"client","raddr":"172.19.209.54:35904","rhdr":"cbco"},"src":{"30080":{"raddr":"172.29.10.69:0","lhdr":"cbco"},"40080":{"raddr":"172.29.10.70:0","lhdr":"cbco"}},"plugin": {"file":"slb_plugin_rm_amex.so","type":"RM"}}}},</v>
      </c>
    </row>
    <row r="25" spans="1:18">
      <c r="A25" s="47">
        <v>5</v>
      </c>
      <c r="B25" s="23" t="s">
        <v>28</v>
      </c>
      <c r="C25" s="23"/>
      <c r="D25" s="11">
        <v>105</v>
      </c>
      <c r="E25" s="11"/>
      <c r="F25" s="11" t="s">
        <v>8</v>
      </c>
      <c r="G25" s="11" t="s">
        <v>229</v>
      </c>
      <c r="H25" s="11" t="s">
        <v>56</v>
      </c>
      <c r="I25" s="11"/>
      <c r="J25" s="11">
        <v>35168</v>
      </c>
      <c r="K25" s="32" t="s">
        <v>56</v>
      </c>
      <c r="L25" s="32" t="str">
        <f t="shared" si="0"/>
        <v>172.29.10.69</v>
      </c>
      <c r="M25" s="32">
        <v>30030</v>
      </c>
      <c r="N25" s="32" t="str">
        <f t="shared" si="3"/>
        <v>172.29.10.70</v>
      </c>
      <c r="O25" s="32">
        <f t="shared" si="4"/>
        <v>40030</v>
      </c>
      <c r="P25" s="32" t="s">
        <v>136</v>
      </c>
      <c r="Q25" s="49" t="s">
        <v>95</v>
      </c>
      <c r="R25" s="3" t="str">
        <f t="shared" si="2"/>
        <v>"5":{"rules":{"105":{"type":"con","Desc":"AMEX BANCOLOMBIA EMISOR PT In 1","dst":{"mode":"server","raddr":"172.16.4.10:0","lport":"35168 cbco"},"src":{"30030":{"raddr":"172.29.10.69:0","lhdr":"cbco"},"40030":{"raddr":"172.29.10.70:0","lhdr":"cbco"}},"plugin": {"file":"slb_plugin_rm_amex.so","type":"RM"}},</v>
      </c>
    </row>
    <row r="26" spans="1:18">
      <c r="A26" s="30"/>
      <c r="B26" s="7" t="s">
        <v>29</v>
      </c>
      <c r="C26" s="7"/>
      <c r="D26" s="6">
        <v>205</v>
      </c>
      <c r="E26" s="6"/>
      <c r="F26" s="6" t="s">
        <v>8</v>
      </c>
      <c r="G26" s="6" t="s">
        <v>229</v>
      </c>
      <c r="H26" s="6" t="s">
        <v>56</v>
      </c>
      <c r="I26" s="6"/>
      <c r="J26" s="6">
        <v>35169</v>
      </c>
      <c r="K26" s="33" t="s">
        <v>56</v>
      </c>
      <c r="L26" s="33" t="str">
        <f t="shared" si="0"/>
        <v>172.29.10.69</v>
      </c>
      <c r="M26" s="33">
        <v>30040</v>
      </c>
      <c r="N26" s="33" t="str">
        <f t="shared" si="3"/>
        <v>172.29.10.70</v>
      </c>
      <c r="O26" s="33">
        <f t="shared" si="4"/>
        <v>40040</v>
      </c>
      <c r="P26" s="33" t="s">
        <v>136</v>
      </c>
      <c r="Q26" s="34" t="s">
        <v>95</v>
      </c>
      <c r="R26" s="3" t="str">
        <f t="shared" si="2"/>
        <v>"205":{"type":"con","Desc":"AMEX BANCOLOMBIA EMISOR PT In 2","dst":{"mode":"server","raddr":"172.16.4.10:0","lport":"35169 cbco"},"src":{"30040":{"raddr":"172.29.10.69:0","lhdr":"cbco"},"40040":{"raddr":"172.29.10.70:0","lhdr":"cbco"}},"plugin": {"file":"slb_plugin_rm_amex.so","type":"RM"}},</v>
      </c>
    </row>
    <row r="27" spans="1:18">
      <c r="A27" s="30"/>
      <c r="B27" s="7" t="s">
        <v>30</v>
      </c>
      <c r="C27" s="7"/>
      <c r="D27" s="8">
        <v>305</v>
      </c>
      <c r="E27" s="8"/>
      <c r="F27" s="8" t="s">
        <v>8</v>
      </c>
      <c r="G27" s="6" t="s">
        <v>229</v>
      </c>
      <c r="H27" s="6" t="s">
        <v>56</v>
      </c>
      <c r="I27" s="8"/>
      <c r="J27" s="8">
        <v>30094</v>
      </c>
      <c r="K27" s="33" t="s">
        <v>56</v>
      </c>
      <c r="L27" s="33" t="str">
        <f t="shared" si="0"/>
        <v>172.29.10.69</v>
      </c>
      <c r="M27" s="33">
        <v>30050</v>
      </c>
      <c r="N27" s="33" t="str">
        <f t="shared" si="3"/>
        <v>172.29.10.70</v>
      </c>
      <c r="O27" s="33">
        <f t="shared" si="4"/>
        <v>40050</v>
      </c>
      <c r="P27" s="33" t="s">
        <v>136</v>
      </c>
      <c r="Q27" s="34" t="s">
        <v>95</v>
      </c>
      <c r="R27" s="3" t="str">
        <f t="shared" si="2"/>
        <v>"305":{"type":"con","Desc":"AMEX BANCOLOMBIA ADQUIRIENTE PT In 1","dst":{"mode":"server","raddr":"172.16.4.10:0","lport":"30094 cbco"},"src":{"30050":{"raddr":"172.29.10.69:0","lhdr":"cbco"},"40050":{"raddr":"172.29.10.70:0","lhdr":"cbco"}},"plugin": {"file":"slb_plugin_rm_amex.so","type":"RM"}},</v>
      </c>
    </row>
    <row r="28" spans="1:18">
      <c r="A28" s="30"/>
      <c r="B28" s="7" t="s">
        <v>31</v>
      </c>
      <c r="C28" s="7"/>
      <c r="D28" s="8">
        <v>405</v>
      </c>
      <c r="E28" s="8"/>
      <c r="F28" s="8" t="s">
        <v>8</v>
      </c>
      <c r="G28" s="6" t="s">
        <v>229</v>
      </c>
      <c r="H28" s="6" t="s">
        <v>56</v>
      </c>
      <c r="I28" s="8"/>
      <c r="J28" s="8">
        <v>30095</v>
      </c>
      <c r="K28" s="33" t="s">
        <v>56</v>
      </c>
      <c r="L28" s="33" t="str">
        <f t="shared" si="0"/>
        <v>172.29.10.69</v>
      </c>
      <c r="M28" s="33">
        <v>30060</v>
      </c>
      <c r="N28" s="33" t="str">
        <f t="shared" si="3"/>
        <v>172.29.10.70</v>
      </c>
      <c r="O28" s="33">
        <f t="shared" si="4"/>
        <v>40060</v>
      </c>
      <c r="P28" s="33" t="s">
        <v>136</v>
      </c>
      <c r="Q28" s="34" t="s">
        <v>95</v>
      </c>
      <c r="R28" s="3" t="str">
        <f t="shared" si="2"/>
        <v>"405":{"type":"con","Desc":"AMEX BANCOLOMBIA ADQUIRIENTE PT In 2","dst":{"mode":"server","raddr":"172.16.4.10:0","lport":"30095 cbco"},"src":{"30060":{"raddr":"172.29.10.69:0","lhdr":"cbco"},"40060":{"raddr":"172.29.10.70:0","lhdr":"cbco"}},"plugin": {"file":"slb_plugin_rm_amex.so","type":"RM"}},</v>
      </c>
    </row>
    <row r="29" spans="1:18">
      <c r="A29" s="30"/>
      <c r="B29" s="7" t="s">
        <v>34</v>
      </c>
      <c r="C29" s="7"/>
      <c r="D29" s="8">
        <v>505</v>
      </c>
      <c r="E29" s="8"/>
      <c r="F29" s="8" t="s">
        <v>14</v>
      </c>
      <c r="G29" s="8"/>
      <c r="H29" s="8" t="s">
        <v>56</v>
      </c>
      <c r="I29" s="8" t="s">
        <v>230</v>
      </c>
      <c r="J29" s="6">
        <v>35168</v>
      </c>
      <c r="K29" s="33" t="s">
        <v>56</v>
      </c>
      <c r="L29" s="33" t="str">
        <f t="shared" si="0"/>
        <v>172.29.10.69</v>
      </c>
      <c r="M29" s="33">
        <v>30090</v>
      </c>
      <c r="N29" s="33" t="str">
        <f t="shared" si="3"/>
        <v>172.29.10.70</v>
      </c>
      <c r="O29" s="33">
        <f t="shared" si="4"/>
        <v>40090</v>
      </c>
      <c r="P29" s="33" t="s">
        <v>136</v>
      </c>
      <c r="Q29" s="34" t="s">
        <v>95</v>
      </c>
      <c r="R29" s="3" t="str">
        <f t="shared" si="2"/>
        <v>"505":{"type":"con","Desc":"AMEX BANCOLOMBIA EMISOR PT Out 1","dst":{"mode":"client","raddr":"172.19.209.54:35168","rhdr":"cbco"},"src":{"30090":{"raddr":"172.29.10.69:0","lhdr":"cbco"},"40090":{"raddr":"172.29.10.70:0","lhdr":"cbco"}},"plugin": {"file":"slb_plugin_rm_amex.so","type":"RM"}},</v>
      </c>
    </row>
    <row r="30" spans="1:18">
      <c r="A30" s="30"/>
      <c r="B30" s="7" t="s">
        <v>35</v>
      </c>
      <c r="C30" s="7"/>
      <c r="D30" s="8">
        <v>605</v>
      </c>
      <c r="E30" s="8"/>
      <c r="F30" s="8" t="s">
        <v>14</v>
      </c>
      <c r="G30" s="8"/>
      <c r="H30" s="8" t="s">
        <v>56</v>
      </c>
      <c r="I30" s="8" t="s">
        <v>230</v>
      </c>
      <c r="J30" s="6">
        <v>35169</v>
      </c>
      <c r="K30" s="33" t="s">
        <v>56</v>
      </c>
      <c r="L30" s="33" t="str">
        <f t="shared" si="0"/>
        <v>172.29.10.69</v>
      </c>
      <c r="M30" s="33">
        <v>30100</v>
      </c>
      <c r="N30" s="33" t="str">
        <f t="shared" si="3"/>
        <v>172.29.10.70</v>
      </c>
      <c r="O30" s="33">
        <f t="shared" si="4"/>
        <v>40100</v>
      </c>
      <c r="P30" s="33" t="s">
        <v>136</v>
      </c>
      <c r="Q30" s="34" t="s">
        <v>95</v>
      </c>
      <c r="R30" s="3" t="str">
        <f t="shared" si="2"/>
        <v>"605":{"type":"con","Desc":"AMEX BANCOLOMBIA EMISOR PT Out 2","dst":{"mode":"client","raddr":"172.19.209.54:35169","rhdr":"cbco"},"src":{"30100":{"raddr":"172.29.10.69:0","lhdr":"cbco"},"40100":{"raddr":"172.29.10.70:0","lhdr":"cbco"}},"plugin": {"file":"slb_plugin_rm_amex.so","type":"RM"}},</v>
      </c>
    </row>
    <row r="31" spans="1:18">
      <c r="A31" s="30"/>
      <c r="B31" s="7" t="s">
        <v>36</v>
      </c>
      <c r="C31" s="7"/>
      <c r="D31" s="8">
        <v>705</v>
      </c>
      <c r="E31" s="8"/>
      <c r="F31" s="8" t="s">
        <v>14</v>
      </c>
      <c r="G31" s="8"/>
      <c r="H31" s="8" t="s">
        <v>56</v>
      </c>
      <c r="I31" s="8" t="s">
        <v>230</v>
      </c>
      <c r="J31" s="8">
        <v>30094</v>
      </c>
      <c r="K31" s="33" t="s">
        <v>56</v>
      </c>
      <c r="L31" s="33" t="str">
        <f t="shared" si="0"/>
        <v>172.29.10.69</v>
      </c>
      <c r="M31" s="33">
        <v>30110</v>
      </c>
      <c r="N31" s="33" t="str">
        <f t="shared" si="3"/>
        <v>172.29.10.70</v>
      </c>
      <c r="O31" s="33">
        <f t="shared" si="4"/>
        <v>40110</v>
      </c>
      <c r="P31" s="33" t="s">
        <v>136</v>
      </c>
      <c r="Q31" s="34" t="s">
        <v>95</v>
      </c>
      <c r="R31" s="3" t="str">
        <f t="shared" si="2"/>
        <v>"705":{"type":"con","Desc":"AMEX BANCOLOMBIA ADQUIRIENTE PT Out 1","dst":{"mode":"client","raddr":"172.19.209.54:30094","rhdr":"cbco"},"src":{"30110":{"raddr":"172.29.10.69:0","lhdr":"cbco"},"40110":{"raddr":"172.29.10.70:0","lhdr":"cbco"}},"plugin": {"file":"slb_plugin_rm_amex.so","type":"RM"}},</v>
      </c>
    </row>
    <row r="32" spans="1:18" ht="15" thickBot="1">
      <c r="A32" s="40"/>
      <c r="B32" s="16" t="s">
        <v>37</v>
      </c>
      <c r="C32" s="16"/>
      <c r="D32" s="17">
        <v>805</v>
      </c>
      <c r="E32" s="17"/>
      <c r="F32" s="17" t="s">
        <v>14</v>
      </c>
      <c r="G32" s="17"/>
      <c r="H32" s="17" t="s">
        <v>56</v>
      </c>
      <c r="I32" s="17" t="s">
        <v>230</v>
      </c>
      <c r="J32" s="17">
        <v>30095</v>
      </c>
      <c r="K32" s="35" t="s">
        <v>56</v>
      </c>
      <c r="L32" s="35" t="str">
        <f t="shared" si="0"/>
        <v>172.29.10.69</v>
      </c>
      <c r="M32" s="35">
        <v>30120</v>
      </c>
      <c r="N32" s="35" t="str">
        <f t="shared" si="3"/>
        <v>172.29.10.70</v>
      </c>
      <c r="O32" s="35">
        <f t="shared" si="4"/>
        <v>40120</v>
      </c>
      <c r="P32" s="35" t="s">
        <v>136</v>
      </c>
      <c r="Q32" s="36" t="s">
        <v>96</v>
      </c>
      <c r="R32" s="3" t="str">
        <f t="shared" si="2"/>
        <v>"805":{"type":"con","Desc":"AMEX BANCOLOMBIA ADQUIRIENTE PT Out 2","dst":{"mode":"client","raddr":"172.19.209.54:30095","rhdr":"cbco"},"src":{"30120":{"raddr":"172.29.10.69:0","lhdr":"cbco"},"40120":{"raddr":"172.29.10.70:0","lhdr":"cbco"}},"plugin": {"file":"slb_plugin_rm_amex.so","type":"RM"}}}},</v>
      </c>
    </row>
    <row r="33" spans="1:18">
      <c r="A33" s="47">
        <v>6</v>
      </c>
      <c r="B33" s="23" t="s">
        <v>73</v>
      </c>
      <c r="C33" s="23"/>
      <c r="D33" s="29">
        <v>106</v>
      </c>
      <c r="E33" s="29"/>
      <c r="F33" s="29" t="s">
        <v>8</v>
      </c>
      <c r="G33" s="29" t="s">
        <v>231</v>
      </c>
      <c r="H33" s="29" t="s">
        <v>156</v>
      </c>
      <c r="I33" s="29"/>
      <c r="J33" s="29">
        <v>10100</v>
      </c>
      <c r="K33" s="32" t="s">
        <v>156</v>
      </c>
      <c r="L33" s="32" t="str">
        <f t="shared" si="0"/>
        <v>172.29.10.69</v>
      </c>
      <c r="M33" s="32">
        <v>30500</v>
      </c>
      <c r="N33" s="32" t="str">
        <f t="shared" si="3"/>
        <v>172.29.10.70</v>
      </c>
      <c r="O33" s="32">
        <f t="shared" si="4"/>
        <v>40500</v>
      </c>
      <c r="P33" s="32" t="s">
        <v>157</v>
      </c>
      <c r="Q33" s="49" t="s">
        <v>95</v>
      </c>
      <c r="R33" s="3" t="str">
        <f t="shared" si="2"/>
        <v>"6":{"rules":{"106":{"type":"con","Desc":"VISA (B24-SV) PT In 1","dst":{"mode":"server","raddr":"172.19.211.101:0","lport":"10100 visa"},"src":{"30500":{"raddr":"172.29.10.69:0","lhdr":"visa"},"40500":{"raddr":"172.29.10.70:0","lhdr":"visa"}},"plugin": {"file":"slb_plugin_rm_visa.so","type":"RM"}},</v>
      </c>
    </row>
    <row r="34" spans="1:18">
      <c r="A34" s="30"/>
      <c r="B34" s="7" t="s">
        <v>74</v>
      </c>
      <c r="C34" s="7"/>
      <c r="D34" s="8">
        <v>206</v>
      </c>
      <c r="E34" s="8"/>
      <c r="F34" s="8" t="s">
        <v>8</v>
      </c>
      <c r="G34" s="8" t="s">
        <v>231</v>
      </c>
      <c r="H34" s="8" t="s">
        <v>156</v>
      </c>
      <c r="I34" s="8"/>
      <c r="J34" s="8">
        <v>10101</v>
      </c>
      <c r="K34" s="33" t="s">
        <v>156</v>
      </c>
      <c r="L34" s="33" t="str">
        <f t="shared" si="0"/>
        <v>172.29.10.69</v>
      </c>
      <c r="M34" s="33">
        <v>30520</v>
      </c>
      <c r="N34" s="33" t="str">
        <f t="shared" si="3"/>
        <v>172.29.10.70</v>
      </c>
      <c r="O34" s="33">
        <f t="shared" si="4"/>
        <v>40520</v>
      </c>
      <c r="P34" s="33" t="s">
        <v>157</v>
      </c>
      <c r="Q34" s="34" t="s">
        <v>95</v>
      </c>
      <c r="R34" s="3" t="str">
        <f t="shared" si="2"/>
        <v>"206":{"type":"con","Desc":"VISA (B24-SV) PT In 2","dst":{"mode":"server","raddr":"172.19.211.101:0","lport":"10101 visa"},"src":{"30520":{"raddr":"172.29.10.69:0","lhdr":"visa"},"40520":{"raddr":"172.29.10.70:0","lhdr":"visa"}},"plugin": {"file":"slb_plugin_rm_visa.so","type":"RM"}},</v>
      </c>
    </row>
    <row r="35" spans="1:18">
      <c r="A35" s="30"/>
      <c r="B35" s="7" t="s">
        <v>72</v>
      </c>
      <c r="C35" s="7"/>
      <c r="D35" s="8">
        <v>306</v>
      </c>
      <c r="E35" s="8"/>
      <c r="F35" s="8" t="s">
        <v>14</v>
      </c>
      <c r="G35" s="8"/>
      <c r="H35" s="8" t="s">
        <v>156</v>
      </c>
      <c r="I35" s="8" t="s">
        <v>232</v>
      </c>
      <c r="J35" s="8">
        <v>10100</v>
      </c>
      <c r="K35" s="33" t="s">
        <v>156</v>
      </c>
      <c r="L35" s="33" t="str">
        <f t="shared" si="0"/>
        <v>172.29.10.69</v>
      </c>
      <c r="M35" s="33">
        <v>30510</v>
      </c>
      <c r="N35" s="33" t="str">
        <f t="shared" si="3"/>
        <v>172.29.10.70</v>
      </c>
      <c r="O35" s="33">
        <f t="shared" si="4"/>
        <v>40510</v>
      </c>
      <c r="P35" s="33" t="s">
        <v>157</v>
      </c>
      <c r="Q35" s="34" t="s">
        <v>95</v>
      </c>
      <c r="R35" s="3" t="str">
        <f t="shared" si="2"/>
        <v>"306":{"type":"con","Desc":"Red Visa Out 1","dst":{"mode":"client","raddr":"172.19.213.2:10100","rhdr":"visa"},"src":{"30510":{"raddr":"172.29.10.69:0","lhdr":"visa"},"40510":{"raddr":"172.29.10.70:0","lhdr":"visa"}},"plugin": {"file":"slb_plugin_rm_visa.so","type":"RM"}},</v>
      </c>
    </row>
    <row r="36" spans="1:18" ht="15" thickBot="1">
      <c r="A36" s="40"/>
      <c r="B36" s="16" t="s">
        <v>71</v>
      </c>
      <c r="C36" s="16"/>
      <c r="D36" s="17">
        <v>406</v>
      </c>
      <c r="E36" s="17"/>
      <c r="F36" s="17" t="s">
        <v>14</v>
      </c>
      <c r="G36" s="17"/>
      <c r="H36" s="17" t="s">
        <v>156</v>
      </c>
      <c r="I36" s="17" t="s">
        <v>233</v>
      </c>
      <c r="J36" s="17">
        <v>10101</v>
      </c>
      <c r="K36" s="35" t="s">
        <v>156</v>
      </c>
      <c r="L36" s="35" t="str">
        <f t="shared" si="0"/>
        <v>172.29.10.69</v>
      </c>
      <c r="M36" s="35">
        <v>30530</v>
      </c>
      <c r="N36" s="35" t="str">
        <f t="shared" si="3"/>
        <v>172.29.10.70</v>
      </c>
      <c r="O36" s="35">
        <f t="shared" si="4"/>
        <v>40530</v>
      </c>
      <c r="P36" s="35" t="s">
        <v>157</v>
      </c>
      <c r="Q36" s="36" t="s">
        <v>96</v>
      </c>
      <c r="R36" s="3" t="str">
        <f t="shared" si="2"/>
        <v>"406":{"type":"con","Desc":"Red Visa Out 2","dst":{"mode":"client","raddr":"172.19.213.3:10101","rhdr":"visa"},"src":{"30530":{"raddr":"172.29.10.69:0","lhdr":"visa"},"40530":{"raddr":"172.29.10.70:0","lhdr":"visa"}},"plugin": {"file":"slb_plugin_rm_visa.so","type":"RM"}}}},</v>
      </c>
    </row>
    <row r="37" spans="1:18">
      <c r="A37" s="47">
        <v>7</v>
      </c>
      <c r="B37" s="23" t="s">
        <v>148</v>
      </c>
      <c r="C37" s="23"/>
      <c r="D37" s="29">
        <v>107</v>
      </c>
      <c r="E37" s="29"/>
      <c r="F37" s="29" t="s">
        <v>14</v>
      </c>
      <c r="G37" s="29"/>
      <c r="H37" s="29" t="s">
        <v>56</v>
      </c>
      <c r="I37" s="29" t="s">
        <v>231</v>
      </c>
      <c r="J37" s="29">
        <v>7777</v>
      </c>
      <c r="K37" s="32" t="s">
        <v>56</v>
      </c>
      <c r="L37" s="32" t="str">
        <f t="shared" si="0"/>
        <v>172.29.10.69</v>
      </c>
      <c r="M37" s="32">
        <v>30420</v>
      </c>
      <c r="N37" s="32" t="str">
        <f t="shared" si="3"/>
        <v>172.29.10.70</v>
      </c>
      <c r="O37" s="32">
        <v>30420</v>
      </c>
      <c r="P37" s="32" t="s">
        <v>94</v>
      </c>
      <c r="Q37" s="49" t="s">
        <v>95</v>
      </c>
      <c r="R37" s="3" t="str">
        <f t="shared" si="2"/>
        <v>"7":{"rules":{"107":{"type":"con","Desc":"MC BICISO Ntwk In 1","dst":{"mode":"client","raddr":"172.19.211.101:7777","rhdr":"cbco"},"src":{"30420":{"raddr":"172.29.10.69:0","lhdr":"cbco"},"30420":{"raddr":"172.29.10.70:0","lhdr":"cbco"}},"plugin": {"file":"slb_plugin_rm_biciso.so","type":"RM"}},</v>
      </c>
    </row>
    <row r="38" spans="1:18" ht="15" thickBot="1">
      <c r="A38" s="40"/>
      <c r="B38" s="16" t="s">
        <v>149</v>
      </c>
      <c r="C38" s="16"/>
      <c r="D38" s="17">
        <v>207</v>
      </c>
      <c r="E38" s="17"/>
      <c r="F38" s="17" t="s">
        <v>14</v>
      </c>
      <c r="G38" s="17"/>
      <c r="H38" s="17" t="s">
        <v>56</v>
      </c>
      <c r="I38" s="17" t="s">
        <v>231</v>
      </c>
      <c r="J38" s="17">
        <v>7778</v>
      </c>
      <c r="K38" s="35" t="s">
        <v>56</v>
      </c>
      <c r="L38" s="35" t="str">
        <f t="shared" si="0"/>
        <v>172.29.10.69</v>
      </c>
      <c r="M38" s="35">
        <v>30440</v>
      </c>
      <c r="N38" s="35" t="str">
        <f t="shared" si="3"/>
        <v>172.29.10.70</v>
      </c>
      <c r="O38" s="35">
        <v>30440</v>
      </c>
      <c r="P38" s="35" t="s">
        <v>94</v>
      </c>
      <c r="Q38" s="36" t="s">
        <v>96</v>
      </c>
      <c r="R38" s="3" t="str">
        <f t="shared" si="2"/>
        <v>"207":{"type":"con","Desc":"MC BICISO Ntwk In 2","dst":{"mode":"client","raddr":"172.19.211.101:7778","rhdr":"cbco"},"src":{"30440":{"raddr":"172.29.10.69:0","lhdr":"cbco"},"30440":{"raddr":"172.29.10.70:0","lhdr":"cbco"}},"plugin": {"file":"slb_plugin_rm_biciso.so","type":"RM"}}}},</v>
      </c>
    </row>
    <row r="39" spans="1:18">
      <c r="A39" s="47">
        <v>8</v>
      </c>
      <c r="B39" s="23" t="s">
        <v>234</v>
      </c>
      <c r="C39" s="23"/>
      <c r="D39" s="29">
        <v>108</v>
      </c>
      <c r="E39" s="29"/>
      <c r="F39" s="29" t="s">
        <v>14</v>
      </c>
      <c r="G39" s="29"/>
      <c r="H39" s="29" t="s">
        <v>56</v>
      </c>
      <c r="I39" s="29" t="s">
        <v>236</v>
      </c>
      <c r="J39" s="29">
        <v>7780</v>
      </c>
      <c r="K39" s="32" t="s">
        <v>56</v>
      </c>
      <c r="L39" s="32" t="str">
        <f t="shared" si="0"/>
        <v>172.29.10.69</v>
      </c>
      <c r="M39" s="32">
        <v>37780</v>
      </c>
      <c r="N39" s="32" t="str">
        <f t="shared" si="3"/>
        <v>172.29.10.70</v>
      </c>
      <c r="O39" s="32">
        <f t="shared" ref="O39:O48" si="5">+M39+10000</f>
        <v>47780</v>
      </c>
      <c r="P39" s="32" t="s">
        <v>94</v>
      </c>
      <c r="Q39" s="49" t="s">
        <v>95</v>
      </c>
      <c r="R39" s="3" t="str">
        <f t="shared" si="2"/>
        <v>"8":{"rules":{"108":{"type":"con","Desc":"HPDH (POS - BASE24) Out 1","dst":{"mode":"client","raddr":"172.19.211.102:7780","rhdr":"cbco"},"src":{"37780":{"raddr":"172.29.10.69:0","lhdr":"cbco"},"47780":{"raddr":"172.29.10.70:0","lhdr":"cbco"}},"plugin": {"file":"slb_plugin_rm_biciso.so","type":"RM"}},</v>
      </c>
    </row>
    <row r="40" spans="1:18" ht="15" thickBot="1">
      <c r="A40" s="40"/>
      <c r="B40" s="16" t="s">
        <v>235</v>
      </c>
      <c r="C40" s="16"/>
      <c r="D40" s="17">
        <v>208</v>
      </c>
      <c r="E40" s="17"/>
      <c r="F40" s="17" t="s">
        <v>14</v>
      </c>
      <c r="G40" s="17"/>
      <c r="H40" s="17" t="s">
        <v>56</v>
      </c>
      <c r="I40" s="17" t="s">
        <v>236</v>
      </c>
      <c r="J40" s="17">
        <v>7781</v>
      </c>
      <c r="K40" s="35" t="s">
        <v>56</v>
      </c>
      <c r="L40" s="35" t="str">
        <f t="shared" si="0"/>
        <v>172.29.10.69</v>
      </c>
      <c r="M40" s="35">
        <v>37781</v>
      </c>
      <c r="N40" s="35" t="str">
        <f t="shared" si="3"/>
        <v>172.29.10.70</v>
      </c>
      <c r="O40" s="35">
        <f t="shared" si="5"/>
        <v>47781</v>
      </c>
      <c r="P40" s="35" t="s">
        <v>94</v>
      </c>
      <c r="Q40" s="36" t="s">
        <v>96</v>
      </c>
      <c r="R40" s="3" t="str">
        <f t="shared" si="2"/>
        <v>"208":{"type":"con","Desc":"HPDH (POS - BASE24) Out 2","dst":{"mode":"client","raddr":"172.19.211.102:7781","rhdr":"cbco"},"src":{"37781":{"raddr":"172.29.10.69:0","lhdr":"cbco"},"47781":{"raddr":"172.29.10.70:0","lhdr":"cbco"}},"plugin": {"file":"slb_plugin_rm_biciso.so","type":"RM"}}}},</v>
      </c>
    </row>
    <row r="41" spans="1:18">
      <c r="A41" s="47">
        <v>9</v>
      </c>
      <c r="B41" s="23" t="s">
        <v>237</v>
      </c>
      <c r="C41" s="23"/>
      <c r="D41" s="29">
        <v>109</v>
      </c>
      <c r="E41" s="29"/>
      <c r="F41" s="29" t="s">
        <v>8</v>
      </c>
      <c r="G41" s="29" t="s">
        <v>241</v>
      </c>
      <c r="H41" s="29" t="s">
        <v>55</v>
      </c>
      <c r="I41" s="29"/>
      <c r="J41" s="29">
        <v>2200</v>
      </c>
      <c r="K41" s="32" t="s">
        <v>55</v>
      </c>
      <c r="L41" s="32" t="str">
        <f t="shared" si="0"/>
        <v>172.29.10.69</v>
      </c>
      <c r="M41" s="32">
        <v>30630</v>
      </c>
      <c r="N41" s="32" t="str">
        <f t="shared" si="3"/>
        <v>172.29.10.70</v>
      </c>
      <c r="O41" s="32">
        <f t="shared" si="5"/>
        <v>40630</v>
      </c>
      <c r="P41" s="32" t="s">
        <v>94</v>
      </c>
      <c r="Q41" s="49" t="s">
        <v>95</v>
      </c>
      <c r="R41" s="3" t="str">
        <f t="shared" si="2"/>
        <v>"9":{"rules":{"109":{"type":"con","Desc":"Vpayment In 1","dst":{"mode":"server","raddr":"172.19.202.220:0","lport":"2200 BHb2"},"src":{"30630":{"raddr":"172.29.10.69:0","lhdr":"BHb2"},"40630":{"raddr":"172.29.10.70:0","lhdr":"BHb2"}},"plugin": {"file":"slb_plugin_rm_biciso.so","type":"RM"}},</v>
      </c>
    </row>
    <row r="42" spans="1:18">
      <c r="A42" s="30"/>
      <c r="B42" s="7" t="s">
        <v>238</v>
      </c>
      <c r="C42" s="7"/>
      <c r="D42" s="8">
        <v>209</v>
      </c>
      <c r="E42" s="8"/>
      <c r="F42" s="8" t="s">
        <v>8</v>
      </c>
      <c r="G42" s="8" t="s">
        <v>241</v>
      </c>
      <c r="H42" s="8" t="s">
        <v>55</v>
      </c>
      <c r="I42" s="8"/>
      <c r="J42" s="8">
        <v>3200</v>
      </c>
      <c r="K42" s="33" t="s">
        <v>55</v>
      </c>
      <c r="L42" s="33" t="str">
        <f t="shared" si="0"/>
        <v>172.29.10.69</v>
      </c>
      <c r="M42" s="33">
        <v>30650</v>
      </c>
      <c r="N42" s="33" t="str">
        <f t="shared" si="3"/>
        <v>172.29.10.70</v>
      </c>
      <c r="O42" s="33">
        <f t="shared" si="5"/>
        <v>40650</v>
      </c>
      <c r="P42" s="33" t="s">
        <v>94</v>
      </c>
      <c r="Q42" s="34" t="s">
        <v>95</v>
      </c>
      <c r="R42" s="3" t="str">
        <f t="shared" si="2"/>
        <v>"209":{"type":"con","Desc":"Vpayment In 2","dst":{"mode":"server","raddr":"172.19.202.220:0","lport":"3200 BHb2"},"src":{"30650":{"raddr":"172.29.10.69:0","lhdr":"BHb2"},"40650":{"raddr":"172.29.10.70:0","lhdr":"BHb2"}},"plugin": {"file":"slb_plugin_rm_biciso.so","type":"RM"}},</v>
      </c>
    </row>
    <row r="43" spans="1:18">
      <c r="A43" s="30"/>
      <c r="B43" s="7" t="s">
        <v>239</v>
      </c>
      <c r="C43" s="7"/>
      <c r="D43" s="8">
        <v>309</v>
      </c>
      <c r="E43" s="8"/>
      <c r="F43" s="8" t="s">
        <v>14</v>
      </c>
      <c r="G43" s="8"/>
      <c r="H43" s="8" t="s">
        <v>55</v>
      </c>
      <c r="I43" s="8" t="s">
        <v>242</v>
      </c>
      <c r="J43" s="8">
        <v>2200</v>
      </c>
      <c r="K43" s="33" t="s">
        <v>55</v>
      </c>
      <c r="L43" s="33" t="str">
        <f t="shared" si="0"/>
        <v>172.29.10.69</v>
      </c>
      <c r="M43" s="33">
        <v>30640</v>
      </c>
      <c r="N43" s="33" t="str">
        <f t="shared" si="3"/>
        <v>172.29.10.70</v>
      </c>
      <c r="O43" s="33">
        <f t="shared" si="5"/>
        <v>40640</v>
      </c>
      <c r="P43" s="33" t="s">
        <v>94</v>
      </c>
      <c r="Q43" s="34" t="s">
        <v>95</v>
      </c>
      <c r="R43" s="3" t="str">
        <f t="shared" si="2"/>
        <v>"309":{"type":"con","Desc":"Vpay (VPAY - BASE24) Out 1","dst":{"mode":"client","raddr":"172.19.211.103:2200","rhdr":"BHb2"},"src":{"30640":{"raddr":"172.29.10.69:0","lhdr":"BHb2"},"40640":{"raddr":"172.29.10.70:0","lhdr":"BHb2"}},"plugin": {"file":"slb_plugin_rm_biciso.so","type":"RM"}},</v>
      </c>
    </row>
    <row r="44" spans="1:18" ht="15" thickBot="1">
      <c r="A44" s="40"/>
      <c r="B44" s="16" t="s">
        <v>240</v>
      </c>
      <c r="C44" s="16"/>
      <c r="D44" s="17">
        <v>409</v>
      </c>
      <c r="E44" s="17"/>
      <c r="F44" s="17" t="s">
        <v>14</v>
      </c>
      <c r="G44" s="17"/>
      <c r="H44" s="17" t="s">
        <v>55</v>
      </c>
      <c r="I44" s="17" t="s">
        <v>242</v>
      </c>
      <c r="J44" s="17">
        <v>3200</v>
      </c>
      <c r="K44" s="35" t="s">
        <v>55</v>
      </c>
      <c r="L44" s="35" t="str">
        <f t="shared" si="0"/>
        <v>172.29.10.69</v>
      </c>
      <c r="M44" s="35">
        <v>30660</v>
      </c>
      <c r="N44" s="35" t="str">
        <f t="shared" si="3"/>
        <v>172.29.10.70</v>
      </c>
      <c r="O44" s="35">
        <f t="shared" si="5"/>
        <v>40660</v>
      </c>
      <c r="P44" s="35" t="s">
        <v>94</v>
      </c>
      <c r="Q44" s="36" t="s">
        <v>96</v>
      </c>
      <c r="R44" s="3" t="str">
        <f t="shared" si="2"/>
        <v>"409":{"type":"con","Desc":"Vpay (VPAY - BASE24) Out 2","dst":{"mode":"client","raddr":"172.19.211.103:3200","rhdr":"BHb2"},"src":{"30660":{"raddr":"172.29.10.69:0","lhdr":"BHb2"},"40660":{"raddr":"172.29.10.70:0","lhdr":"BHb2"}},"plugin": {"file":"slb_plugin_rm_biciso.so","type":"RM"}}}},</v>
      </c>
    </row>
    <row r="45" spans="1:18">
      <c r="A45" s="47">
        <v>10</v>
      </c>
      <c r="B45" s="23" t="s">
        <v>243</v>
      </c>
      <c r="C45" s="23"/>
      <c r="D45" s="29">
        <v>110</v>
      </c>
      <c r="E45" s="29"/>
      <c r="F45" s="29" t="s">
        <v>8</v>
      </c>
      <c r="G45" s="29" t="s">
        <v>247</v>
      </c>
      <c r="H45" s="29" t="s">
        <v>55</v>
      </c>
      <c r="I45" s="29"/>
      <c r="J45" s="29">
        <v>3539</v>
      </c>
      <c r="K45" s="32" t="s">
        <v>55</v>
      </c>
      <c r="L45" s="32" t="str">
        <f t="shared" si="0"/>
        <v>172.29.10.69</v>
      </c>
      <c r="M45" s="32">
        <v>30560</v>
      </c>
      <c r="N45" s="32" t="str">
        <f t="shared" si="3"/>
        <v>172.29.10.70</v>
      </c>
      <c r="O45" s="32">
        <f t="shared" si="5"/>
        <v>40560</v>
      </c>
      <c r="P45" s="32" t="s">
        <v>94</v>
      </c>
      <c r="Q45" s="49" t="s">
        <v>95</v>
      </c>
      <c r="R45" s="3" t="str">
        <f t="shared" si="2"/>
        <v>"10":{"rules":{"110":{"type":"con","Desc":"Pago Automatico In 1","dst":{"mode":"server","raddr":"172.19.202.212:0","lport":"3539 BHb2"},"src":{"30560":{"raddr":"172.29.10.69:0","lhdr":"BHb2"},"40560":{"raddr":"172.29.10.70:0","lhdr":"BHb2"}},"plugin": {"file":"slb_plugin_rm_biciso.so","type":"RM"}},</v>
      </c>
    </row>
    <row r="46" spans="1:18">
      <c r="A46" s="30"/>
      <c r="B46" s="7" t="s">
        <v>244</v>
      </c>
      <c r="C46" s="7"/>
      <c r="D46" s="8">
        <v>210</v>
      </c>
      <c r="E46" s="8"/>
      <c r="F46" s="8" t="s">
        <v>8</v>
      </c>
      <c r="G46" s="8" t="s">
        <v>248</v>
      </c>
      <c r="H46" s="8" t="s">
        <v>55</v>
      </c>
      <c r="I46" s="8"/>
      <c r="J46" s="8">
        <v>3540</v>
      </c>
      <c r="K46" s="33" t="s">
        <v>55</v>
      </c>
      <c r="L46" s="33" t="str">
        <f t="shared" si="0"/>
        <v>172.29.10.69</v>
      </c>
      <c r="M46" s="33">
        <v>30580</v>
      </c>
      <c r="N46" s="33" t="str">
        <f t="shared" si="3"/>
        <v>172.29.10.70</v>
      </c>
      <c r="O46" s="33">
        <f t="shared" si="5"/>
        <v>40580</v>
      </c>
      <c r="P46" s="33" t="s">
        <v>94</v>
      </c>
      <c r="Q46" s="34" t="s">
        <v>95</v>
      </c>
      <c r="R46" s="3" t="str">
        <f t="shared" si="2"/>
        <v>"210":{"type":"con","Desc":"Pago Automatico In 2","dst":{"mode":"server","raddr":"172.19.202.213:0","lport":"3540 BHb2"},"src":{"30580":{"raddr":"172.29.10.69:0","lhdr":"BHb2"},"40580":{"raddr":"172.29.10.70:0","lhdr":"BHb2"}},"plugin": {"file":"slb_plugin_rm_biciso.so","type":"RM"}},</v>
      </c>
    </row>
    <row r="47" spans="1:18">
      <c r="A47" s="30"/>
      <c r="B47" s="7" t="s">
        <v>245</v>
      </c>
      <c r="C47" s="7"/>
      <c r="D47" s="8">
        <v>310</v>
      </c>
      <c r="E47" s="8"/>
      <c r="F47" s="8" t="s">
        <v>14</v>
      </c>
      <c r="G47" s="8"/>
      <c r="H47" s="8" t="s">
        <v>55</v>
      </c>
      <c r="I47" s="8" t="s">
        <v>242</v>
      </c>
      <c r="J47" s="8">
        <v>3539</v>
      </c>
      <c r="K47" s="33" t="s">
        <v>55</v>
      </c>
      <c r="L47" s="33" t="str">
        <f t="shared" si="0"/>
        <v>172.29.10.69</v>
      </c>
      <c r="M47" s="33">
        <v>30570</v>
      </c>
      <c r="N47" s="33" t="str">
        <f t="shared" si="3"/>
        <v>172.29.10.70</v>
      </c>
      <c r="O47" s="33">
        <f t="shared" si="5"/>
        <v>40570</v>
      </c>
      <c r="P47" s="33" t="s">
        <v>94</v>
      </c>
      <c r="Q47" s="34" t="s">
        <v>95</v>
      </c>
      <c r="R47" s="3" t="str">
        <f t="shared" si="2"/>
        <v>"310":{"type":"con","Desc":"PA (PA - BASE24) Out 1","dst":{"mode":"client","raddr":"172.19.211.103:3539","rhdr":"BHb2"},"src":{"30570":{"raddr":"172.29.10.69:0","lhdr":"BHb2"},"40570":{"raddr":"172.29.10.70:0","lhdr":"BHb2"}},"plugin": {"file":"slb_plugin_rm_biciso.so","type":"RM"}},</v>
      </c>
    </row>
    <row r="48" spans="1:18" ht="15" thickBot="1">
      <c r="A48" s="40"/>
      <c r="B48" s="16" t="s">
        <v>246</v>
      </c>
      <c r="C48" s="16"/>
      <c r="D48" s="17">
        <v>410</v>
      </c>
      <c r="E48" s="17"/>
      <c r="F48" s="17" t="s">
        <v>14</v>
      </c>
      <c r="G48" s="17"/>
      <c r="H48" s="17" t="s">
        <v>55</v>
      </c>
      <c r="I48" s="17" t="s">
        <v>242</v>
      </c>
      <c r="J48" s="17">
        <v>3540</v>
      </c>
      <c r="K48" s="35" t="s">
        <v>55</v>
      </c>
      <c r="L48" s="35" t="str">
        <f t="shared" si="0"/>
        <v>172.29.10.69</v>
      </c>
      <c r="M48" s="35">
        <v>30590</v>
      </c>
      <c r="N48" s="35" t="str">
        <f t="shared" si="3"/>
        <v>172.29.10.70</v>
      </c>
      <c r="O48" s="35">
        <f t="shared" si="5"/>
        <v>40590</v>
      </c>
      <c r="P48" s="35" t="s">
        <v>94</v>
      </c>
      <c r="Q48" s="36" t="s">
        <v>96</v>
      </c>
      <c r="R48" s="3" t="str">
        <f t="shared" si="2"/>
        <v>"410":{"type":"con","Desc":"PA (PA - BASE24) Out 2","dst":{"mode":"client","raddr":"172.19.211.103:3540","rhdr":"BHb2"},"src":{"30590":{"raddr":"172.29.10.69:0","lhdr":"BHb2"},"40590":{"raddr":"172.29.10.70:0","lhdr":"BHb2"}},"plugin": {"file":"slb_plugin_rm_biciso.so","type":"RM"}}}},</v>
      </c>
    </row>
    <row r="49" spans="1:18">
      <c r="A49" s="47">
        <v>11</v>
      </c>
      <c r="B49" s="23" t="s">
        <v>112</v>
      </c>
      <c r="C49" s="23"/>
      <c r="D49" s="29">
        <v>111</v>
      </c>
      <c r="E49" s="29"/>
      <c r="F49" s="29" t="s">
        <v>8</v>
      </c>
      <c r="G49" s="29" t="s">
        <v>249</v>
      </c>
      <c r="H49" s="29" t="s">
        <v>56</v>
      </c>
      <c r="I49" s="29"/>
      <c r="J49" s="29">
        <v>2214</v>
      </c>
      <c r="K49" s="32" t="s">
        <v>56</v>
      </c>
      <c r="L49" s="32" t="str">
        <f t="shared" si="0"/>
        <v>172.29.10.69</v>
      </c>
      <c r="M49" s="32">
        <v>32214</v>
      </c>
      <c r="N49" s="32" t="s">
        <v>94</v>
      </c>
      <c r="O49" s="49" t="s">
        <v>95</v>
      </c>
      <c r="P49" s="51"/>
      <c r="Q49" s="45"/>
      <c r="R49" s="3" t="str">
        <f>CONCATENATE(IF(A49&lt;&gt;"",CONCATENATE("""",A49,"""",":{","""","rules","""",":{"),""),"""",D49,""":{""type"":""con"",""Desc"":""",B49,""",""dst"":{""mode"":""",F49,""",""raddr"":""",IF(F49="server",G49,I49),":",IF(F49="server",0,J49),""",""",IF(F49="server","lport","rhdr"),""":""",IF(F49="server",J49,""),IF(F49="server"," ",""),H49,"""},""src"":{""",M49,""":{""raddr"":""",L49,":0"",""lhdr"":""",K49,IF(N49&lt;&gt;"",CONCATENATE("""}},","""plugin""",": {","""file""",":""",N49,""",","""type""",":","""","RM",""""),""""),O49)</f>
        <v>"11":{"rules":{"111":{"type":"con","Desc":"Itau In 1","dst":{"mode":"server","raddr":"10.1.3.138:0","lport":"2214 cbco"},"src":{"32214":{"raddr":"172.29.10.69:0","lhdr":"cbco"}},"plugin": {"file":"slb_plugin_rm_biciso.so","type":"RM"}},</v>
      </c>
    </row>
    <row r="50" spans="1:18">
      <c r="A50" s="30"/>
      <c r="B50" s="7" t="s">
        <v>113</v>
      </c>
      <c r="C50" s="7"/>
      <c r="D50" s="8">
        <v>211</v>
      </c>
      <c r="E50" s="8"/>
      <c r="F50" s="8" t="s">
        <v>8</v>
      </c>
      <c r="G50" s="8" t="s">
        <v>249</v>
      </c>
      <c r="H50" s="8" t="s">
        <v>56</v>
      </c>
      <c r="I50" s="8"/>
      <c r="J50" s="8">
        <v>3214</v>
      </c>
      <c r="K50" s="33" t="s">
        <v>56</v>
      </c>
      <c r="L50" s="33" t="str">
        <f t="shared" si="0"/>
        <v>172.29.10.69</v>
      </c>
      <c r="M50" s="33">
        <v>33214</v>
      </c>
      <c r="N50" s="33" t="s">
        <v>94</v>
      </c>
      <c r="O50" s="34" t="s">
        <v>95</v>
      </c>
      <c r="P50" s="52"/>
      <c r="Q50" s="2"/>
      <c r="R50" s="3" t="str">
        <f>CONCATENATE(IF(A50&lt;&gt;"",CONCATENATE("""",A50,"""",":{","""","rules","""",":{"),""),"""",D50,""":{""type"":""con"",""Desc"":""",B50,""",""dst"":{""mode"":""",F50,""",""raddr"":""",IF(F50="server",G50,I50),":",IF(F50="server",0,J50),""",""",IF(F50="server","lport","rhdr"),""":""",IF(F50="server",J50,""),IF(F50="server"," ",""),H50,"""},""src"":{""",M50,""":{""raddr"":""",L50,":0"",""lhdr"":""",K50,IF(N50&lt;&gt;"",CONCATENATE("""}},","""plugin""",": {","""file""",":""",N50,""",","""type""",":","""","RM",""""),""""),O50)</f>
        <v>"211":{"type":"con","Desc":"Itau In 2","dst":{"mode":"server","raddr":"10.1.3.138:0","lport":"3214 cbco"},"src":{"33214":{"raddr":"172.29.10.69:0","lhdr":"cbco"}},"plugin": {"file":"slb_plugin_rm_biciso.so","type":"RM"}},</v>
      </c>
    </row>
    <row r="51" spans="1:18">
      <c r="A51" s="30"/>
      <c r="B51" s="7" t="s">
        <v>114</v>
      </c>
      <c r="C51" s="7"/>
      <c r="D51" s="8">
        <v>311</v>
      </c>
      <c r="E51" s="8"/>
      <c r="F51" s="8" t="s">
        <v>14</v>
      </c>
      <c r="G51" s="8"/>
      <c r="H51" s="8" t="s">
        <v>56</v>
      </c>
      <c r="I51" s="8" t="s">
        <v>236</v>
      </c>
      <c r="J51" s="8">
        <v>2214</v>
      </c>
      <c r="K51" s="33" t="s">
        <v>56</v>
      </c>
      <c r="L51" s="33" t="str">
        <f t="shared" si="0"/>
        <v>172.29.10.69</v>
      </c>
      <c r="M51" s="33">
        <v>52214</v>
      </c>
      <c r="N51" s="33" t="str">
        <f t="shared" si="3"/>
        <v>172.29.10.70</v>
      </c>
      <c r="O51" s="34">
        <f>+M51-30000</f>
        <v>22214</v>
      </c>
      <c r="P51" s="53" t="s">
        <v>94</v>
      </c>
      <c r="Q51" s="33" t="s">
        <v>95</v>
      </c>
      <c r="R51" s="3" t="str">
        <f t="shared" si="2"/>
        <v>"311":{"type":"con","Desc":"Itau Out 1","dst":{"mode":"client","raddr":"172.19.211.102:2214","rhdr":"cbco"},"src":{"52214":{"raddr":"172.29.10.69:0","lhdr":"cbco"},"22214":{"raddr":"172.29.10.70:0","lhdr":"cbco"}},"plugin": {"file":"slb_plugin_rm_biciso.so","type":"RM"}},</v>
      </c>
    </row>
    <row r="52" spans="1:18" ht="15" thickBot="1">
      <c r="A52" s="40"/>
      <c r="B52" s="16" t="s">
        <v>115</v>
      </c>
      <c r="C52" s="16"/>
      <c r="D52" s="17">
        <v>411</v>
      </c>
      <c r="E52" s="17"/>
      <c r="F52" s="17" t="s">
        <v>14</v>
      </c>
      <c r="G52" s="17"/>
      <c r="H52" s="17" t="s">
        <v>56</v>
      </c>
      <c r="I52" s="17" t="s">
        <v>236</v>
      </c>
      <c r="J52" s="17">
        <v>3214</v>
      </c>
      <c r="K52" s="35" t="s">
        <v>56</v>
      </c>
      <c r="L52" s="35" t="str">
        <f t="shared" si="0"/>
        <v>172.29.10.69</v>
      </c>
      <c r="M52" s="35">
        <v>53214</v>
      </c>
      <c r="N52" s="35" t="str">
        <f t="shared" si="3"/>
        <v>172.29.10.70</v>
      </c>
      <c r="O52" s="36">
        <f>+M52-30000</f>
        <v>23214</v>
      </c>
      <c r="P52" s="53" t="s">
        <v>94</v>
      </c>
      <c r="Q52" s="33" t="s">
        <v>96</v>
      </c>
      <c r="R52" s="3" t="str">
        <f t="shared" si="2"/>
        <v>"411":{"type":"con","Desc":"Itau Out 2","dst":{"mode":"client","raddr":"172.19.211.102:3214","rhdr":"cbco"},"src":{"53214":{"raddr":"172.29.10.69:0","lhdr":"cbco"},"23214":{"raddr":"172.29.10.70:0","lhdr":"cbco"}},"plugin": {"file":"slb_plugin_rm_biciso.so","type":"RM"}}}},</v>
      </c>
    </row>
    <row r="53" spans="1:18" ht="15" thickBot="1">
      <c r="A53" s="47">
        <v>75</v>
      </c>
      <c r="B53" s="23" t="s">
        <v>1321</v>
      </c>
      <c r="C53" s="23"/>
      <c r="D53" s="29">
        <f>$A$53+100</f>
        <v>175</v>
      </c>
      <c r="E53" s="29"/>
      <c r="F53" s="29" t="s">
        <v>14</v>
      </c>
      <c r="G53" s="29"/>
      <c r="H53" s="29" t="s">
        <v>56</v>
      </c>
      <c r="I53" s="17" t="s">
        <v>236</v>
      </c>
      <c r="J53" s="29" t="s">
        <v>1285</v>
      </c>
      <c r="K53" s="32" t="s">
        <v>56</v>
      </c>
      <c r="L53" s="32" t="str">
        <f t="shared" si="0"/>
        <v>172.29.10.69</v>
      </c>
      <c r="M53" s="32">
        <f>J53+30000</f>
        <v>37601</v>
      </c>
      <c r="N53" s="32" t="str">
        <f t="shared" si="3"/>
        <v>172.29.10.70</v>
      </c>
      <c r="O53" s="32">
        <f t="shared" ref="O53:O54" si="6">+M53+10000</f>
        <v>47601</v>
      </c>
      <c r="P53" s="32" t="s">
        <v>94</v>
      </c>
      <c r="Q53" s="49" t="s">
        <v>95</v>
      </c>
      <c r="R53" s="3" t="str">
        <f t="shared" ref="R53:R54" si="7">CONCATENATE(IF(A53&lt;&gt;"",CONCATENATE("""",A53,"""",":{","""","rules","""",":{"),""),"""",D53,""":{""type"":""con"",""Desc"":""",B53,""",""dst"":{""mode"":""",F53,""",""raddr"":""",IF(F53="server",G53,I53),":",IF(F53="server",0,J53),""",""",IF(F53="server","lport","rhdr"),""":""",IF(F53="server",J53,""),IF(F53="server"," ",""),H53,"""},""src"":{""",M53,""":{""raddr"":""",L53,":0"",""lhdr"":""",K53,"""","},","""",O53,""":{""raddr"":""",N53,":0"",""lhdr"":""",K53,IF(P53&lt;&gt;"",CONCATENATE("""}},","""plugin""",": {","""file""",":""",P53,""",","""type""",":","""","RM",""""),""""),Q53)</f>
        <v>"75":{"rules":{"175":{"type":"con","Desc":"Base24-POS1-01","dst":{"mode":"client","raddr":"172.19.211.102:7601","rhdr":"cbco"},"src":{"37601":{"raddr":"172.29.10.69:0","lhdr":"cbco"},"47601":{"raddr":"172.29.10.70:0","lhdr":"cbco"}},"plugin": {"file":"slb_plugin_rm_biciso.so","type":"RM"}},</v>
      </c>
    </row>
    <row r="54" spans="1:18" ht="15" thickBot="1">
      <c r="A54" s="40"/>
      <c r="B54" s="16" t="s">
        <v>1322</v>
      </c>
      <c r="C54" s="125"/>
      <c r="D54" s="29">
        <f>$A$53+200</f>
        <v>275</v>
      </c>
      <c r="E54" s="17"/>
      <c r="F54" s="17" t="s">
        <v>14</v>
      </c>
      <c r="G54" s="17"/>
      <c r="H54" s="17" t="s">
        <v>56</v>
      </c>
      <c r="I54" s="17" t="s">
        <v>242</v>
      </c>
      <c r="J54" s="29" t="s">
        <v>1286</v>
      </c>
      <c r="K54" s="35" t="s">
        <v>56</v>
      </c>
      <c r="L54" s="35" t="str">
        <f t="shared" si="0"/>
        <v>172.29.10.69</v>
      </c>
      <c r="M54" s="32">
        <f t="shared" ref="M54:M58" si="8">J54+30000</f>
        <v>37602</v>
      </c>
      <c r="N54" s="35" t="str">
        <f t="shared" si="3"/>
        <v>172.29.10.70</v>
      </c>
      <c r="O54" s="35">
        <f t="shared" si="6"/>
        <v>47602</v>
      </c>
      <c r="P54" s="35" t="s">
        <v>94</v>
      </c>
      <c r="Q54" s="36" t="s">
        <v>95</v>
      </c>
      <c r="R54" s="3" t="str">
        <f t="shared" si="7"/>
        <v>"275":{"type":"con","Desc":"Base24-POS1-02","dst":{"mode":"client","raddr":"172.19.211.103:7602","rhdr":"cbco"},"src":{"37602":{"raddr":"172.29.10.69:0","lhdr":"cbco"},"47602":{"raddr":"172.29.10.70:0","lhdr":"cbco"}},"plugin": {"file":"slb_plugin_rm_biciso.so","type":"RM"}},</v>
      </c>
    </row>
    <row r="55" spans="1:18" ht="15" thickBot="1">
      <c r="A55" s="47"/>
      <c r="B55" s="23" t="s">
        <v>1323</v>
      </c>
      <c r="C55" s="23"/>
      <c r="D55" s="29">
        <f>$A$53+300</f>
        <v>375</v>
      </c>
      <c r="E55" s="29"/>
      <c r="F55" s="29" t="s">
        <v>14</v>
      </c>
      <c r="G55" s="29"/>
      <c r="H55" s="29" t="s">
        <v>56</v>
      </c>
      <c r="I55" s="17" t="s">
        <v>242</v>
      </c>
      <c r="J55" s="29" t="s">
        <v>1287</v>
      </c>
      <c r="K55" s="32" t="s">
        <v>56</v>
      </c>
      <c r="L55" s="32" t="str">
        <f t="shared" si="0"/>
        <v>172.29.10.69</v>
      </c>
      <c r="M55" s="32">
        <f t="shared" si="8"/>
        <v>37603</v>
      </c>
      <c r="N55" s="32" t="str">
        <f t="shared" si="3"/>
        <v>172.29.10.70</v>
      </c>
      <c r="O55" s="32">
        <f t="shared" ref="O55:O56" si="9">+M55+10000</f>
        <v>47603</v>
      </c>
      <c r="P55" s="32" t="s">
        <v>94</v>
      </c>
      <c r="Q55" s="49" t="s">
        <v>95</v>
      </c>
      <c r="R55" s="3" t="str">
        <f t="shared" ref="R55:R56" si="10">CONCATENATE(IF(A55&lt;&gt;"",CONCATENATE("""",A55,"""",":{","""","rules","""",":{"),""),"""",D55,""":{""type"":""con"",""Desc"":""",B55,""",""dst"":{""mode"":""",F55,""",""raddr"":""",IF(F55="server",G55,I55),":",IF(F55="server",0,J55),""",""",IF(F55="server","lport","rhdr"),""":""",IF(F55="server",J55,""),IF(F55="server"," ",""),H55,"""},""src"":{""",M55,""":{""raddr"":""",L55,":0"",""lhdr"":""",K55,"""","},","""",O55,""":{""raddr"":""",N55,":0"",""lhdr"":""",K55,IF(P55&lt;&gt;"",CONCATENATE("""}},","""plugin""",": {","""file""",":""",P55,""",","""type""",":","""","RM",""""),""""),Q55)</f>
        <v>"375":{"type":"con","Desc":"Base24-POS1-03","dst":{"mode":"client","raddr":"172.19.211.103:7603","rhdr":"cbco"},"src":{"37603":{"raddr":"172.29.10.69:0","lhdr":"cbco"},"47603":{"raddr":"172.29.10.70:0","lhdr":"cbco"}},"plugin": {"file":"slb_plugin_rm_biciso.so","type":"RM"}},</v>
      </c>
    </row>
    <row r="56" spans="1:18" ht="15" thickBot="1">
      <c r="A56" s="40"/>
      <c r="B56" s="16" t="s">
        <v>1324</v>
      </c>
      <c r="C56" s="125"/>
      <c r="D56" s="29">
        <f>$A$53+400</f>
        <v>475</v>
      </c>
      <c r="E56" s="17"/>
      <c r="F56" s="17" t="s">
        <v>14</v>
      </c>
      <c r="G56" s="17"/>
      <c r="H56" s="17" t="s">
        <v>56</v>
      </c>
      <c r="I56" s="17" t="s">
        <v>231</v>
      </c>
      <c r="J56" s="29" t="s">
        <v>1288</v>
      </c>
      <c r="K56" s="35" t="s">
        <v>56</v>
      </c>
      <c r="L56" s="35" t="str">
        <f t="shared" si="0"/>
        <v>172.29.10.69</v>
      </c>
      <c r="M56" s="32">
        <f t="shared" si="8"/>
        <v>37604</v>
      </c>
      <c r="N56" s="35" t="str">
        <f t="shared" si="3"/>
        <v>172.29.10.70</v>
      </c>
      <c r="O56" s="35">
        <f t="shared" si="9"/>
        <v>47604</v>
      </c>
      <c r="P56" s="35" t="s">
        <v>94</v>
      </c>
      <c r="Q56" s="36" t="s">
        <v>95</v>
      </c>
      <c r="R56" s="3" t="str">
        <f t="shared" si="10"/>
        <v>"475":{"type":"con","Desc":"Base24-POS1-04","dst":{"mode":"client","raddr":"172.19.211.101:7604","rhdr":"cbco"},"src":{"37604":{"raddr":"172.29.10.69:0","lhdr":"cbco"},"47604":{"raddr":"172.29.10.70:0","lhdr":"cbco"}},"plugin": {"file":"slb_plugin_rm_biciso.so","type":"RM"}},</v>
      </c>
    </row>
    <row r="57" spans="1:18" ht="15" thickBot="1">
      <c r="A57" s="47"/>
      <c r="B57" s="23" t="s">
        <v>1325</v>
      </c>
      <c r="C57" s="23"/>
      <c r="D57" s="29">
        <f>$A$53+500</f>
        <v>575</v>
      </c>
      <c r="E57" s="29"/>
      <c r="F57" s="29" t="s">
        <v>14</v>
      </c>
      <c r="G57" s="29"/>
      <c r="H57" s="29" t="s">
        <v>56</v>
      </c>
      <c r="I57" s="17" t="s">
        <v>231</v>
      </c>
      <c r="J57" s="29" t="s">
        <v>1289</v>
      </c>
      <c r="K57" s="32" t="s">
        <v>56</v>
      </c>
      <c r="L57" s="32" t="str">
        <f t="shared" si="0"/>
        <v>172.29.10.69</v>
      </c>
      <c r="M57" s="32">
        <f t="shared" si="8"/>
        <v>37605</v>
      </c>
      <c r="N57" s="32" t="str">
        <f t="shared" si="3"/>
        <v>172.29.10.70</v>
      </c>
      <c r="O57" s="32">
        <f t="shared" ref="O57:O62" si="11">+M57+10000</f>
        <v>47605</v>
      </c>
      <c r="P57" s="32" t="s">
        <v>94</v>
      </c>
      <c r="Q57" s="49" t="s">
        <v>95</v>
      </c>
      <c r="R57" s="3" t="str">
        <f t="shared" ref="R57:R62" si="12">CONCATENATE(IF(A57&lt;&gt;"",CONCATENATE("""",A57,"""",":{","""","rules","""",":{"),""),"""",D57,""":{""type"":""con"",""Desc"":""",B57,""",""dst"":{""mode"":""",F57,""",""raddr"":""",IF(F57="server",G57,I57),":",IF(F57="server",0,J57),""",""",IF(F57="server","lport","rhdr"),""":""",IF(F57="server",J57,""),IF(F57="server"," ",""),H57,"""},""src"":{""",M57,""":{""raddr"":""",L57,":0"",""lhdr"":""",K57,"""","},","""",O57,""":{""raddr"":""",N57,":0"",""lhdr"":""",K57,IF(P57&lt;&gt;"",CONCATENATE("""}},","""plugin""",": {","""file""",":""",P57,""",","""type""",":","""","RM",""""),""""),Q57)</f>
        <v>"575":{"type":"con","Desc":"Base24-POS1-05","dst":{"mode":"client","raddr":"172.19.211.101:7605","rhdr":"cbco"},"src":{"37605":{"raddr":"172.29.10.69:0","lhdr":"cbco"},"47605":{"raddr":"172.29.10.70:0","lhdr":"cbco"}},"plugin": {"file":"slb_plugin_rm_biciso.so","type":"RM"}},</v>
      </c>
    </row>
    <row r="58" spans="1:18" ht="15" thickBot="1">
      <c r="A58" s="40"/>
      <c r="B58" s="16" t="s">
        <v>1326</v>
      </c>
      <c r="C58" s="125"/>
      <c r="D58" s="29">
        <f>$A$53+600</f>
        <v>675</v>
      </c>
      <c r="E58" s="17"/>
      <c r="F58" s="17" t="s">
        <v>14</v>
      </c>
      <c r="G58" s="17"/>
      <c r="H58" s="17" t="s">
        <v>56</v>
      </c>
      <c r="I58" s="17" t="s">
        <v>236</v>
      </c>
      <c r="J58" s="29" t="s">
        <v>1290</v>
      </c>
      <c r="K58" s="35" t="s">
        <v>56</v>
      </c>
      <c r="L58" s="35" t="str">
        <f t="shared" si="0"/>
        <v>172.29.10.69</v>
      </c>
      <c r="M58" s="32">
        <f t="shared" si="8"/>
        <v>37606</v>
      </c>
      <c r="N58" s="35" t="str">
        <f t="shared" si="3"/>
        <v>172.29.10.70</v>
      </c>
      <c r="O58" s="35">
        <f t="shared" si="11"/>
        <v>47606</v>
      </c>
      <c r="P58" s="35" t="s">
        <v>94</v>
      </c>
      <c r="Q58" s="36" t="s">
        <v>96</v>
      </c>
      <c r="R58" s="3" t="str">
        <f t="shared" si="12"/>
        <v>"675":{"type":"con","Desc":"Base24-POS1-06","dst":{"mode":"client","raddr":"172.19.211.102:7606","rhdr":"cbco"},"src":{"37606":{"raddr":"172.29.10.69:0","lhdr":"cbco"},"47606":{"raddr":"172.29.10.70:0","lhdr":"cbco"}},"plugin": {"file":"slb_plugin_rm_biciso.so","type":"RM"}}}},</v>
      </c>
    </row>
    <row r="59" spans="1:18" ht="15" thickBot="1">
      <c r="A59" s="47">
        <v>76</v>
      </c>
      <c r="B59" s="23" t="s">
        <v>1327</v>
      </c>
      <c r="C59" s="23"/>
      <c r="D59" s="29">
        <f>$A$59+100</f>
        <v>176</v>
      </c>
      <c r="E59" s="29"/>
      <c r="F59" s="29" t="s">
        <v>14</v>
      </c>
      <c r="G59" s="29"/>
      <c r="H59" s="29" t="s">
        <v>56</v>
      </c>
      <c r="I59" s="17" t="s">
        <v>231</v>
      </c>
      <c r="J59" s="29" t="s">
        <v>1291</v>
      </c>
      <c r="K59" s="32" t="s">
        <v>56</v>
      </c>
      <c r="L59" s="32" t="str">
        <f t="shared" si="0"/>
        <v>172.29.10.69</v>
      </c>
      <c r="M59" s="32">
        <f>J59+30000</f>
        <v>37607</v>
      </c>
      <c r="N59" s="32" t="str">
        <f t="shared" si="3"/>
        <v>172.29.10.70</v>
      </c>
      <c r="O59" s="32">
        <f t="shared" si="11"/>
        <v>47607</v>
      </c>
      <c r="P59" s="32" t="s">
        <v>94</v>
      </c>
      <c r="Q59" s="49" t="s">
        <v>95</v>
      </c>
      <c r="R59" s="3" t="str">
        <f t="shared" si="12"/>
        <v>"76":{"rules":{"176":{"type":"con","Desc":"Base24-POS2-01","dst":{"mode":"client","raddr":"172.19.211.101:7607","rhdr":"cbco"},"src":{"37607":{"raddr":"172.29.10.69:0","lhdr":"cbco"},"47607":{"raddr":"172.29.10.70:0","lhdr":"cbco"}},"plugin": {"file":"slb_plugin_rm_biciso.so","type":"RM"}},</v>
      </c>
    </row>
    <row r="60" spans="1:18" ht="15" thickBot="1">
      <c r="A60" s="40"/>
      <c r="B60" s="16" t="s">
        <v>1328</v>
      </c>
      <c r="C60" s="125"/>
      <c r="D60" s="29">
        <f>$A$59+200</f>
        <v>276</v>
      </c>
      <c r="E60" s="17"/>
      <c r="F60" s="17" t="s">
        <v>14</v>
      </c>
      <c r="G60" s="17"/>
      <c r="H60" s="17" t="s">
        <v>56</v>
      </c>
      <c r="I60" s="17" t="s">
        <v>231</v>
      </c>
      <c r="J60" s="29" t="s">
        <v>1292</v>
      </c>
      <c r="K60" s="35" t="s">
        <v>56</v>
      </c>
      <c r="L60" s="35" t="str">
        <f t="shared" si="0"/>
        <v>172.29.10.69</v>
      </c>
      <c r="M60" s="32">
        <f t="shared" ref="M60:M64" si="13">J60+30000</f>
        <v>37608</v>
      </c>
      <c r="N60" s="35" t="str">
        <f t="shared" si="3"/>
        <v>172.29.10.70</v>
      </c>
      <c r="O60" s="35">
        <f t="shared" si="11"/>
        <v>47608</v>
      </c>
      <c r="P60" s="35" t="s">
        <v>94</v>
      </c>
      <c r="Q60" s="36" t="s">
        <v>95</v>
      </c>
      <c r="R60" s="3" t="str">
        <f t="shared" si="12"/>
        <v>"276":{"type":"con","Desc":"Base24-POS2-02","dst":{"mode":"client","raddr":"172.19.211.101:7608","rhdr":"cbco"},"src":{"37608":{"raddr":"172.29.10.69:0","lhdr":"cbco"},"47608":{"raddr":"172.29.10.70:0","lhdr":"cbco"}},"plugin": {"file":"slb_plugin_rm_biciso.so","type":"RM"}},</v>
      </c>
    </row>
    <row r="61" spans="1:18" ht="15" thickBot="1">
      <c r="A61" s="47"/>
      <c r="B61" s="23" t="s">
        <v>1329</v>
      </c>
      <c r="C61" s="23"/>
      <c r="D61" s="29">
        <f>$A$59+300</f>
        <v>376</v>
      </c>
      <c r="E61" s="29"/>
      <c r="F61" s="29" t="s">
        <v>14</v>
      </c>
      <c r="G61" s="29"/>
      <c r="H61" s="29" t="s">
        <v>56</v>
      </c>
      <c r="I61" s="17" t="s">
        <v>236</v>
      </c>
      <c r="J61" s="29" t="s">
        <v>1293</v>
      </c>
      <c r="K61" s="32" t="s">
        <v>56</v>
      </c>
      <c r="L61" s="32" t="str">
        <f t="shared" si="0"/>
        <v>172.29.10.69</v>
      </c>
      <c r="M61" s="32">
        <f t="shared" si="13"/>
        <v>37609</v>
      </c>
      <c r="N61" s="32" t="str">
        <f t="shared" si="3"/>
        <v>172.29.10.70</v>
      </c>
      <c r="O61" s="32">
        <f t="shared" si="11"/>
        <v>47609</v>
      </c>
      <c r="P61" s="32" t="s">
        <v>94</v>
      </c>
      <c r="Q61" s="49" t="s">
        <v>95</v>
      </c>
      <c r="R61" s="3" t="str">
        <f t="shared" si="12"/>
        <v>"376":{"type":"con","Desc":"Base24-POS2-03","dst":{"mode":"client","raddr":"172.19.211.102:7609","rhdr":"cbco"},"src":{"37609":{"raddr":"172.29.10.69:0","lhdr":"cbco"},"47609":{"raddr":"172.29.10.70:0","lhdr":"cbco"}},"plugin": {"file":"slb_plugin_rm_biciso.so","type":"RM"}},</v>
      </c>
    </row>
    <row r="62" spans="1:18" ht="15" thickBot="1">
      <c r="A62" s="40"/>
      <c r="B62" s="16" t="s">
        <v>1330</v>
      </c>
      <c r="C62" s="125"/>
      <c r="D62" s="29">
        <f>$A$59+400</f>
        <v>476</v>
      </c>
      <c r="E62" s="17"/>
      <c r="F62" s="17" t="s">
        <v>14</v>
      </c>
      <c r="G62" s="17"/>
      <c r="H62" s="17" t="s">
        <v>56</v>
      </c>
      <c r="I62" s="17" t="s">
        <v>236</v>
      </c>
      <c r="J62" s="29" t="s">
        <v>1294</v>
      </c>
      <c r="K62" s="35" t="s">
        <v>56</v>
      </c>
      <c r="L62" s="35" t="str">
        <f t="shared" si="0"/>
        <v>172.29.10.69</v>
      </c>
      <c r="M62" s="32">
        <f t="shared" si="13"/>
        <v>37610</v>
      </c>
      <c r="N62" s="35" t="str">
        <f t="shared" si="3"/>
        <v>172.29.10.70</v>
      </c>
      <c r="O62" s="35">
        <f t="shared" si="11"/>
        <v>47610</v>
      </c>
      <c r="P62" s="35" t="s">
        <v>94</v>
      </c>
      <c r="Q62" s="36" t="s">
        <v>95</v>
      </c>
      <c r="R62" s="3" t="str">
        <f t="shared" si="12"/>
        <v>"476":{"type":"con","Desc":"Base24-POS2-04","dst":{"mode":"client","raddr":"172.19.211.102:7610","rhdr":"cbco"},"src":{"37610":{"raddr":"172.29.10.69:0","lhdr":"cbco"},"47610":{"raddr":"172.29.10.70:0","lhdr":"cbco"}},"plugin": {"file":"slb_plugin_rm_biciso.so","type":"RM"}},</v>
      </c>
    </row>
    <row r="63" spans="1:18" ht="15" thickBot="1">
      <c r="A63" s="47"/>
      <c r="B63" s="23" t="s">
        <v>1331</v>
      </c>
      <c r="C63" s="23"/>
      <c r="D63" s="29">
        <f>$A$59+500</f>
        <v>576</v>
      </c>
      <c r="E63" s="29"/>
      <c r="F63" s="29" t="s">
        <v>14</v>
      </c>
      <c r="G63" s="29"/>
      <c r="H63" s="29" t="s">
        <v>56</v>
      </c>
      <c r="I63" s="17" t="s">
        <v>242</v>
      </c>
      <c r="J63" s="29" t="s">
        <v>1295</v>
      </c>
      <c r="K63" s="32" t="s">
        <v>56</v>
      </c>
      <c r="L63" s="32" t="str">
        <f t="shared" si="0"/>
        <v>172.29.10.69</v>
      </c>
      <c r="M63" s="32">
        <f t="shared" si="13"/>
        <v>37611</v>
      </c>
      <c r="N63" s="32" t="str">
        <f t="shared" si="3"/>
        <v>172.29.10.70</v>
      </c>
      <c r="O63" s="32">
        <f t="shared" ref="O63:O68" si="14">+M63+10000</f>
        <v>47611</v>
      </c>
      <c r="P63" s="32" t="s">
        <v>94</v>
      </c>
      <c r="Q63" s="49" t="s">
        <v>95</v>
      </c>
      <c r="R63" s="3" t="str">
        <f t="shared" ref="R63:R68" si="15">CONCATENATE(IF(A63&lt;&gt;"",CONCATENATE("""",A63,"""",":{","""","rules","""",":{"),""),"""",D63,""":{""type"":""con"",""Desc"":""",B63,""",""dst"":{""mode"":""",F63,""",""raddr"":""",IF(F63="server",G63,I63),":",IF(F63="server",0,J63),""",""",IF(F63="server","lport","rhdr"),""":""",IF(F63="server",J63,""),IF(F63="server"," ",""),H63,"""},""src"":{""",M63,""":{""raddr"":""",L63,":0"",""lhdr"":""",K63,"""","},","""",O63,""":{""raddr"":""",N63,":0"",""lhdr"":""",K63,IF(P63&lt;&gt;"",CONCATENATE("""}},","""plugin""",": {","""file""",":""",P63,""",","""type""",":","""","RM",""""),""""),Q63)</f>
        <v>"576":{"type":"con","Desc":"Base24-POS2-05","dst":{"mode":"client","raddr":"172.19.211.103:7611","rhdr":"cbco"},"src":{"37611":{"raddr":"172.29.10.69:0","lhdr":"cbco"},"47611":{"raddr":"172.29.10.70:0","lhdr":"cbco"}},"plugin": {"file":"slb_plugin_rm_biciso.so","type":"RM"}},</v>
      </c>
    </row>
    <row r="64" spans="1:18" ht="15" thickBot="1">
      <c r="A64" s="40"/>
      <c r="B64" s="16" t="s">
        <v>1332</v>
      </c>
      <c r="C64" s="125"/>
      <c r="D64" s="29">
        <f>$A$59+600</f>
        <v>676</v>
      </c>
      <c r="E64" s="17"/>
      <c r="F64" s="17" t="s">
        <v>14</v>
      </c>
      <c r="G64" s="17"/>
      <c r="H64" s="17" t="s">
        <v>56</v>
      </c>
      <c r="I64" s="17" t="s">
        <v>242</v>
      </c>
      <c r="J64" s="29" t="s">
        <v>1296</v>
      </c>
      <c r="K64" s="35" t="s">
        <v>56</v>
      </c>
      <c r="L64" s="35" t="str">
        <f t="shared" si="0"/>
        <v>172.29.10.69</v>
      </c>
      <c r="M64" s="32">
        <f t="shared" si="13"/>
        <v>37612</v>
      </c>
      <c r="N64" s="35" t="str">
        <f t="shared" si="3"/>
        <v>172.29.10.70</v>
      </c>
      <c r="O64" s="35">
        <f t="shared" si="14"/>
        <v>47612</v>
      </c>
      <c r="P64" s="35" t="s">
        <v>94</v>
      </c>
      <c r="Q64" s="36" t="s">
        <v>96</v>
      </c>
      <c r="R64" s="3" t="str">
        <f t="shared" si="15"/>
        <v>"676":{"type":"con","Desc":"Base24-POS2-06","dst":{"mode":"client","raddr":"172.19.211.103:7612","rhdr":"cbco"},"src":{"37612":{"raddr":"172.29.10.69:0","lhdr":"cbco"},"47612":{"raddr":"172.29.10.70:0","lhdr":"cbco"}},"plugin": {"file":"slb_plugin_rm_biciso.so","type":"RM"}}}},</v>
      </c>
    </row>
    <row r="65" spans="1:18" ht="15" thickBot="1">
      <c r="A65" s="47">
        <v>77</v>
      </c>
      <c r="B65" s="23" t="s">
        <v>1333</v>
      </c>
      <c r="C65" s="23"/>
      <c r="D65" s="29">
        <f>$A$65+100</f>
        <v>177</v>
      </c>
      <c r="E65" s="29"/>
      <c r="F65" s="29" t="s">
        <v>14</v>
      </c>
      <c r="G65" s="29"/>
      <c r="H65" s="29" t="s">
        <v>56</v>
      </c>
      <c r="I65" s="17" t="s">
        <v>231</v>
      </c>
      <c r="J65" s="29" t="s">
        <v>1297</v>
      </c>
      <c r="K65" s="32" t="s">
        <v>56</v>
      </c>
      <c r="L65" s="32" t="str">
        <f t="shared" si="0"/>
        <v>172.29.10.69</v>
      </c>
      <c r="M65" s="32">
        <f>J65+30000</f>
        <v>37613</v>
      </c>
      <c r="N65" s="32" t="str">
        <f t="shared" si="3"/>
        <v>172.29.10.70</v>
      </c>
      <c r="O65" s="32">
        <f t="shared" si="14"/>
        <v>47613</v>
      </c>
      <c r="P65" s="32" t="s">
        <v>94</v>
      </c>
      <c r="Q65" s="49" t="s">
        <v>95</v>
      </c>
      <c r="R65" s="3" t="str">
        <f t="shared" si="15"/>
        <v>"77":{"rules":{"177":{"type":"con","Desc":"Base24-POS3-01","dst":{"mode":"client","raddr":"172.19.211.101:7613","rhdr":"cbco"},"src":{"37613":{"raddr":"172.29.10.69:0","lhdr":"cbco"},"47613":{"raddr":"172.29.10.70:0","lhdr":"cbco"}},"plugin": {"file":"slb_plugin_rm_biciso.so","type":"RM"}},</v>
      </c>
    </row>
    <row r="66" spans="1:18" ht="15" thickBot="1">
      <c r="A66" s="40"/>
      <c r="B66" s="16" t="s">
        <v>1334</v>
      </c>
      <c r="C66" s="125"/>
      <c r="D66" s="29">
        <f>$A$65+200</f>
        <v>277</v>
      </c>
      <c r="E66" s="17"/>
      <c r="F66" s="17" t="s">
        <v>14</v>
      </c>
      <c r="G66" s="17"/>
      <c r="H66" s="17" t="s">
        <v>56</v>
      </c>
      <c r="I66" s="17" t="s">
        <v>231</v>
      </c>
      <c r="J66" s="29" t="s">
        <v>1298</v>
      </c>
      <c r="K66" s="35" t="s">
        <v>56</v>
      </c>
      <c r="L66" s="35" t="str">
        <f t="shared" si="0"/>
        <v>172.29.10.69</v>
      </c>
      <c r="M66" s="32">
        <f t="shared" ref="M66:M70" si="16">J66+30000</f>
        <v>37614</v>
      </c>
      <c r="N66" s="35" t="str">
        <f t="shared" si="3"/>
        <v>172.29.10.70</v>
      </c>
      <c r="O66" s="35">
        <f t="shared" si="14"/>
        <v>47614</v>
      </c>
      <c r="P66" s="35" t="s">
        <v>94</v>
      </c>
      <c r="Q66" s="36" t="s">
        <v>95</v>
      </c>
      <c r="R66" s="3" t="str">
        <f t="shared" si="15"/>
        <v>"277":{"type":"con","Desc":"Base24-POS3-02","dst":{"mode":"client","raddr":"172.19.211.101:7614","rhdr":"cbco"},"src":{"37614":{"raddr":"172.29.10.69:0","lhdr":"cbco"},"47614":{"raddr":"172.29.10.70:0","lhdr":"cbco"}},"plugin": {"file":"slb_plugin_rm_biciso.so","type":"RM"}},</v>
      </c>
    </row>
    <row r="67" spans="1:18" ht="15" thickBot="1">
      <c r="A67" s="47"/>
      <c r="B67" s="23" t="s">
        <v>1335</v>
      </c>
      <c r="C67" s="23"/>
      <c r="D67" s="29">
        <f>$A$65+300</f>
        <v>377</v>
      </c>
      <c r="E67" s="29"/>
      <c r="F67" s="29" t="s">
        <v>14</v>
      </c>
      <c r="G67" s="29"/>
      <c r="H67" s="29" t="s">
        <v>56</v>
      </c>
      <c r="I67" s="17" t="s">
        <v>236</v>
      </c>
      <c r="J67" s="29" t="s">
        <v>1299</v>
      </c>
      <c r="K67" s="32" t="s">
        <v>56</v>
      </c>
      <c r="L67" s="32" t="str">
        <f t="shared" si="0"/>
        <v>172.29.10.69</v>
      </c>
      <c r="M67" s="32">
        <f t="shared" si="16"/>
        <v>37615</v>
      </c>
      <c r="N67" s="32" t="str">
        <f t="shared" si="3"/>
        <v>172.29.10.70</v>
      </c>
      <c r="O67" s="32">
        <f t="shared" si="14"/>
        <v>47615</v>
      </c>
      <c r="P67" s="32" t="s">
        <v>94</v>
      </c>
      <c r="Q67" s="49" t="s">
        <v>95</v>
      </c>
      <c r="R67" s="3" t="str">
        <f t="shared" si="15"/>
        <v>"377":{"type":"con","Desc":"Base24-POS3-03","dst":{"mode":"client","raddr":"172.19.211.102:7615","rhdr":"cbco"},"src":{"37615":{"raddr":"172.29.10.69:0","lhdr":"cbco"},"47615":{"raddr":"172.29.10.70:0","lhdr":"cbco"}},"plugin": {"file":"slb_plugin_rm_biciso.so","type":"RM"}},</v>
      </c>
    </row>
    <row r="68" spans="1:18" ht="15" thickBot="1">
      <c r="A68" s="40"/>
      <c r="B68" s="16" t="s">
        <v>1336</v>
      </c>
      <c r="C68" s="125"/>
      <c r="D68" s="29">
        <f>$A$65+400</f>
        <v>477</v>
      </c>
      <c r="E68" s="17"/>
      <c r="F68" s="17" t="s">
        <v>14</v>
      </c>
      <c r="G68" s="17"/>
      <c r="H68" s="17" t="s">
        <v>56</v>
      </c>
      <c r="I68" s="17" t="s">
        <v>236</v>
      </c>
      <c r="J68" s="29" t="s">
        <v>1300</v>
      </c>
      <c r="K68" s="35" t="s">
        <v>56</v>
      </c>
      <c r="L68" s="35" t="str">
        <f t="shared" si="0"/>
        <v>172.29.10.69</v>
      </c>
      <c r="M68" s="32">
        <f t="shared" si="16"/>
        <v>37616</v>
      </c>
      <c r="N68" s="35" t="str">
        <f t="shared" si="3"/>
        <v>172.29.10.70</v>
      </c>
      <c r="O68" s="35">
        <f t="shared" si="14"/>
        <v>47616</v>
      </c>
      <c r="P68" s="35" t="s">
        <v>94</v>
      </c>
      <c r="Q68" s="36" t="s">
        <v>95</v>
      </c>
      <c r="R68" s="3" t="str">
        <f t="shared" si="15"/>
        <v>"477":{"type":"con","Desc":"Base24-POS3-04","dst":{"mode":"client","raddr":"172.19.211.102:7616","rhdr":"cbco"},"src":{"37616":{"raddr":"172.29.10.69:0","lhdr":"cbco"},"47616":{"raddr":"172.29.10.70:0","lhdr":"cbco"}},"plugin": {"file":"slb_plugin_rm_biciso.so","type":"RM"}},</v>
      </c>
    </row>
    <row r="69" spans="1:18" ht="15" thickBot="1">
      <c r="A69" s="47"/>
      <c r="B69" s="23" t="s">
        <v>1337</v>
      </c>
      <c r="C69" s="23"/>
      <c r="D69" s="29">
        <f>$A$65+500</f>
        <v>577</v>
      </c>
      <c r="E69" s="29"/>
      <c r="F69" s="29" t="s">
        <v>14</v>
      </c>
      <c r="G69" s="29"/>
      <c r="H69" s="29" t="s">
        <v>56</v>
      </c>
      <c r="I69" s="17" t="s">
        <v>242</v>
      </c>
      <c r="J69" s="29" t="s">
        <v>1301</v>
      </c>
      <c r="K69" s="32" t="s">
        <v>56</v>
      </c>
      <c r="L69" s="32" t="str">
        <f t="shared" ref="L69:L96" si="17">+$B$2</f>
        <v>172.29.10.69</v>
      </c>
      <c r="M69" s="32">
        <f t="shared" si="16"/>
        <v>37617</v>
      </c>
      <c r="N69" s="32" t="str">
        <f t="shared" si="3"/>
        <v>172.29.10.70</v>
      </c>
      <c r="O69" s="32">
        <f t="shared" ref="O69:O86" si="18">+M69+10000</f>
        <v>47617</v>
      </c>
      <c r="P69" s="32" t="s">
        <v>94</v>
      </c>
      <c r="Q69" s="49" t="s">
        <v>95</v>
      </c>
      <c r="R69" s="3" t="str">
        <f t="shared" ref="R69:R86" si="19">CONCATENATE(IF(A69&lt;&gt;"",CONCATENATE("""",A69,"""",":{","""","rules","""",":{"),""),"""",D69,""":{""type"":""con"",""Desc"":""",B69,""",""dst"":{""mode"":""",F69,""",""raddr"":""",IF(F69="server",G69,I69),":",IF(F69="server",0,J69),""",""",IF(F69="server","lport","rhdr"),""":""",IF(F69="server",J69,""),IF(F69="server"," ",""),H69,"""},""src"":{""",M69,""":{""raddr"":""",L69,":0"",""lhdr"":""",K69,"""","},","""",O69,""":{""raddr"":""",N69,":0"",""lhdr"":""",K69,IF(P69&lt;&gt;"",CONCATENATE("""}},","""plugin""",": {","""file""",":""",P69,""",","""type""",":","""","RM",""""),""""),Q69)</f>
        <v>"577":{"type":"con","Desc":"Base24-POS3-05","dst":{"mode":"client","raddr":"172.19.211.103:7617","rhdr":"cbco"},"src":{"37617":{"raddr":"172.29.10.69:0","lhdr":"cbco"},"47617":{"raddr":"172.29.10.70:0","lhdr":"cbco"}},"plugin": {"file":"slb_plugin_rm_biciso.so","type":"RM"}},</v>
      </c>
    </row>
    <row r="70" spans="1:18" ht="15" thickBot="1">
      <c r="A70" s="40"/>
      <c r="B70" s="16" t="s">
        <v>1338</v>
      </c>
      <c r="C70" s="125"/>
      <c r="D70" s="29">
        <f>$A$65+600</f>
        <v>677</v>
      </c>
      <c r="E70" s="17"/>
      <c r="F70" s="17" t="s">
        <v>14</v>
      </c>
      <c r="G70" s="17"/>
      <c r="H70" s="17" t="s">
        <v>56</v>
      </c>
      <c r="I70" s="17" t="s">
        <v>242</v>
      </c>
      <c r="J70" s="29" t="s">
        <v>1302</v>
      </c>
      <c r="K70" s="35" t="s">
        <v>56</v>
      </c>
      <c r="L70" s="35" t="str">
        <f t="shared" si="17"/>
        <v>172.29.10.69</v>
      </c>
      <c r="M70" s="32">
        <f t="shared" si="16"/>
        <v>37618</v>
      </c>
      <c r="N70" s="35" t="str">
        <f t="shared" si="3"/>
        <v>172.29.10.70</v>
      </c>
      <c r="O70" s="35">
        <f t="shared" si="18"/>
        <v>47618</v>
      </c>
      <c r="P70" s="35" t="s">
        <v>94</v>
      </c>
      <c r="Q70" s="36" t="s">
        <v>96</v>
      </c>
      <c r="R70" s="3" t="str">
        <f t="shared" si="19"/>
        <v>"677":{"type":"con","Desc":"Base24-POS3-06","dst":{"mode":"client","raddr":"172.19.211.103:7618","rhdr":"cbco"},"src":{"37618":{"raddr":"172.29.10.69:0","lhdr":"cbco"},"47618":{"raddr":"172.29.10.70:0","lhdr":"cbco"}},"plugin": {"file":"slb_plugin_rm_biciso.so","type":"RM"}}}},</v>
      </c>
    </row>
    <row r="71" spans="1:18" ht="15" thickBot="1">
      <c r="A71" s="47">
        <v>78</v>
      </c>
      <c r="B71" s="23" t="s">
        <v>1339</v>
      </c>
      <c r="C71" s="23"/>
      <c r="D71" s="29">
        <f>$A$71+100</f>
        <v>178</v>
      </c>
      <c r="E71" s="29"/>
      <c r="F71" s="29" t="s">
        <v>14</v>
      </c>
      <c r="G71" s="29"/>
      <c r="H71" s="29" t="s">
        <v>56</v>
      </c>
      <c r="I71" s="17" t="s">
        <v>231</v>
      </c>
      <c r="J71" s="29" t="s">
        <v>1303</v>
      </c>
      <c r="K71" s="32" t="s">
        <v>56</v>
      </c>
      <c r="L71" s="32" t="str">
        <f t="shared" si="17"/>
        <v>172.29.10.69</v>
      </c>
      <c r="M71" s="32">
        <f>J71+30000</f>
        <v>37619</v>
      </c>
      <c r="N71" s="32" t="str">
        <f t="shared" si="3"/>
        <v>172.29.10.70</v>
      </c>
      <c r="O71" s="32">
        <f t="shared" si="18"/>
        <v>47619</v>
      </c>
      <c r="P71" s="32" t="s">
        <v>94</v>
      </c>
      <c r="Q71" s="49" t="s">
        <v>95</v>
      </c>
      <c r="R71" s="3" t="str">
        <f t="shared" si="19"/>
        <v>"78":{"rules":{"178":{"type":"con","Desc":"Base24-POS4-01","dst":{"mode":"client","raddr":"172.19.211.101:7619","rhdr":"cbco"},"src":{"37619":{"raddr":"172.29.10.69:0","lhdr":"cbco"},"47619":{"raddr":"172.29.10.70:0","lhdr":"cbco"}},"plugin": {"file":"slb_plugin_rm_biciso.so","type":"RM"}},</v>
      </c>
    </row>
    <row r="72" spans="1:18" ht="15" thickBot="1">
      <c r="A72" s="40"/>
      <c r="B72" s="16" t="s">
        <v>1340</v>
      </c>
      <c r="C72" s="125"/>
      <c r="D72" s="29">
        <f>$A$71+200</f>
        <v>278</v>
      </c>
      <c r="E72" s="17"/>
      <c r="F72" s="17" t="s">
        <v>14</v>
      </c>
      <c r="G72" s="17"/>
      <c r="H72" s="17" t="s">
        <v>56</v>
      </c>
      <c r="I72" s="17" t="s">
        <v>231</v>
      </c>
      <c r="J72" s="29" t="s">
        <v>1304</v>
      </c>
      <c r="K72" s="35" t="s">
        <v>56</v>
      </c>
      <c r="L72" s="35" t="str">
        <f t="shared" si="17"/>
        <v>172.29.10.69</v>
      </c>
      <c r="M72" s="32">
        <f t="shared" ref="M72:M76" si="20">J72+30000</f>
        <v>37620</v>
      </c>
      <c r="N72" s="35" t="str">
        <f t="shared" si="3"/>
        <v>172.29.10.70</v>
      </c>
      <c r="O72" s="35">
        <f t="shared" si="18"/>
        <v>47620</v>
      </c>
      <c r="P72" s="35" t="s">
        <v>94</v>
      </c>
      <c r="Q72" s="36" t="s">
        <v>95</v>
      </c>
      <c r="R72" s="3" t="str">
        <f t="shared" si="19"/>
        <v>"278":{"type":"con","Desc":"Base24-POS4-02","dst":{"mode":"client","raddr":"172.19.211.101:7620","rhdr":"cbco"},"src":{"37620":{"raddr":"172.29.10.69:0","lhdr":"cbco"},"47620":{"raddr":"172.29.10.70:0","lhdr":"cbco"}},"plugin": {"file":"slb_plugin_rm_biciso.so","type":"RM"}},</v>
      </c>
    </row>
    <row r="73" spans="1:18" ht="15" thickBot="1">
      <c r="A73" s="47"/>
      <c r="B73" s="23" t="s">
        <v>1341</v>
      </c>
      <c r="C73" s="23"/>
      <c r="D73" s="29">
        <f>$A$71+300</f>
        <v>378</v>
      </c>
      <c r="E73" s="29"/>
      <c r="F73" s="29" t="s">
        <v>14</v>
      </c>
      <c r="G73" s="29"/>
      <c r="H73" s="29" t="s">
        <v>56</v>
      </c>
      <c r="I73" s="17" t="s">
        <v>236</v>
      </c>
      <c r="J73" s="29" t="s">
        <v>1305</v>
      </c>
      <c r="K73" s="32" t="s">
        <v>56</v>
      </c>
      <c r="L73" s="32" t="str">
        <f t="shared" si="17"/>
        <v>172.29.10.69</v>
      </c>
      <c r="M73" s="32">
        <f t="shared" si="20"/>
        <v>37621</v>
      </c>
      <c r="N73" s="32" t="str">
        <f t="shared" si="3"/>
        <v>172.29.10.70</v>
      </c>
      <c r="O73" s="32">
        <f t="shared" si="18"/>
        <v>47621</v>
      </c>
      <c r="P73" s="32" t="s">
        <v>94</v>
      </c>
      <c r="Q73" s="49" t="s">
        <v>95</v>
      </c>
      <c r="R73" s="3" t="str">
        <f t="shared" si="19"/>
        <v>"378":{"type":"con","Desc":"Base24-POS4-03","dst":{"mode":"client","raddr":"172.19.211.102:7621","rhdr":"cbco"},"src":{"37621":{"raddr":"172.29.10.69:0","lhdr":"cbco"},"47621":{"raddr":"172.29.10.70:0","lhdr":"cbco"}},"plugin": {"file":"slb_plugin_rm_biciso.so","type":"RM"}},</v>
      </c>
    </row>
    <row r="74" spans="1:18" ht="15" thickBot="1">
      <c r="A74" s="40"/>
      <c r="B74" s="16" t="s">
        <v>1342</v>
      </c>
      <c r="C74" s="125"/>
      <c r="D74" s="29">
        <f>$A$71+400</f>
        <v>478</v>
      </c>
      <c r="E74" s="17"/>
      <c r="F74" s="17" t="s">
        <v>14</v>
      </c>
      <c r="G74" s="17"/>
      <c r="H74" s="17" t="s">
        <v>56</v>
      </c>
      <c r="I74" s="17" t="s">
        <v>236</v>
      </c>
      <c r="J74" s="29" t="s">
        <v>1306</v>
      </c>
      <c r="K74" s="35" t="s">
        <v>56</v>
      </c>
      <c r="L74" s="35" t="str">
        <f t="shared" si="17"/>
        <v>172.29.10.69</v>
      </c>
      <c r="M74" s="32">
        <f t="shared" si="20"/>
        <v>37622</v>
      </c>
      <c r="N74" s="35" t="str">
        <f t="shared" ref="N74:N96" si="21">+$B$3</f>
        <v>172.29.10.70</v>
      </c>
      <c r="O74" s="35">
        <f t="shared" si="18"/>
        <v>47622</v>
      </c>
      <c r="P74" s="35" t="s">
        <v>94</v>
      </c>
      <c r="Q74" s="36" t="s">
        <v>95</v>
      </c>
      <c r="R74" s="3" t="str">
        <f t="shared" si="19"/>
        <v>"478":{"type":"con","Desc":"Base24-POS4-04","dst":{"mode":"client","raddr":"172.19.211.102:7622","rhdr":"cbco"},"src":{"37622":{"raddr":"172.29.10.69:0","lhdr":"cbco"},"47622":{"raddr":"172.29.10.70:0","lhdr":"cbco"}},"plugin": {"file":"slb_plugin_rm_biciso.so","type":"RM"}},</v>
      </c>
    </row>
    <row r="75" spans="1:18" ht="15" thickBot="1">
      <c r="A75" s="47"/>
      <c r="B75" s="23" t="s">
        <v>1343</v>
      </c>
      <c r="C75" s="23"/>
      <c r="D75" s="29">
        <f>$A$71+500</f>
        <v>578</v>
      </c>
      <c r="E75" s="29"/>
      <c r="F75" s="29" t="s">
        <v>14</v>
      </c>
      <c r="G75" s="29"/>
      <c r="H75" s="29" t="s">
        <v>56</v>
      </c>
      <c r="I75" s="17" t="s">
        <v>242</v>
      </c>
      <c r="J75" s="29" t="s">
        <v>1307</v>
      </c>
      <c r="K75" s="32" t="s">
        <v>56</v>
      </c>
      <c r="L75" s="32" t="str">
        <f t="shared" si="17"/>
        <v>172.29.10.69</v>
      </c>
      <c r="M75" s="32">
        <f t="shared" si="20"/>
        <v>37623</v>
      </c>
      <c r="N75" s="32" t="str">
        <f t="shared" si="21"/>
        <v>172.29.10.70</v>
      </c>
      <c r="O75" s="32">
        <f t="shared" si="18"/>
        <v>47623</v>
      </c>
      <c r="P75" s="32" t="s">
        <v>94</v>
      </c>
      <c r="Q75" s="49" t="s">
        <v>95</v>
      </c>
      <c r="R75" s="3" t="str">
        <f t="shared" si="19"/>
        <v>"578":{"type":"con","Desc":"Base24-POS4-05","dst":{"mode":"client","raddr":"172.19.211.103:7623","rhdr":"cbco"},"src":{"37623":{"raddr":"172.29.10.69:0","lhdr":"cbco"},"47623":{"raddr":"172.29.10.70:0","lhdr":"cbco"}},"plugin": {"file":"slb_plugin_rm_biciso.so","type":"RM"}},</v>
      </c>
    </row>
    <row r="76" spans="1:18" ht="15" thickBot="1">
      <c r="A76" s="40"/>
      <c r="B76" s="16" t="s">
        <v>1344</v>
      </c>
      <c r="C76" s="125"/>
      <c r="D76" s="29">
        <f>$A$71+600</f>
        <v>678</v>
      </c>
      <c r="E76" s="17"/>
      <c r="F76" s="17" t="s">
        <v>14</v>
      </c>
      <c r="G76" s="17"/>
      <c r="H76" s="17" t="s">
        <v>56</v>
      </c>
      <c r="I76" s="17" t="s">
        <v>242</v>
      </c>
      <c r="J76" s="29" t="s">
        <v>1308</v>
      </c>
      <c r="K76" s="35" t="s">
        <v>56</v>
      </c>
      <c r="L76" s="35" t="str">
        <f t="shared" si="17"/>
        <v>172.29.10.69</v>
      </c>
      <c r="M76" s="32">
        <f t="shared" si="20"/>
        <v>37624</v>
      </c>
      <c r="N76" s="35" t="str">
        <f t="shared" si="21"/>
        <v>172.29.10.70</v>
      </c>
      <c r="O76" s="35">
        <f t="shared" si="18"/>
        <v>47624</v>
      </c>
      <c r="P76" s="35" t="s">
        <v>94</v>
      </c>
      <c r="Q76" s="36" t="s">
        <v>96</v>
      </c>
      <c r="R76" s="3" t="str">
        <f t="shared" si="19"/>
        <v>"678":{"type":"con","Desc":"Base24-POS4-06","dst":{"mode":"client","raddr":"172.19.211.103:7624","rhdr":"cbco"},"src":{"37624":{"raddr":"172.29.10.69:0","lhdr":"cbco"},"47624":{"raddr":"172.29.10.70:0","lhdr":"cbco"}},"plugin": {"file":"slb_plugin_rm_biciso.so","type":"RM"}}}},</v>
      </c>
    </row>
    <row r="77" spans="1:18" ht="15" thickBot="1">
      <c r="A77" s="47">
        <v>79</v>
      </c>
      <c r="B77" s="23" t="s">
        <v>1345</v>
      </c>
      <c r="C77" s="23"/>
      <c r="D77" s="29">
        <f>$A$77+100</f>
        <v>179</v>
      </c>
      <c r="E77" s="29"/>
      <c r="F77" s="29" t="s">
        <v>14</v>
      </c>
      <c r="G77" s="29"/>
      <c r="H77" s="29" t="s">
        <v>56</v>
      </c>
      <c r="I77" s="17" t="s">
        <v>231</v>
      </c>
      <c r="J77" s="29" t="s">
        <v>1309</v>
      </c>
      <c r="K77" s="32" t="s">
        <v>56</v>
      </c>
      <c r="L77" s="32" t="str">
        <f t="shared" si="17"/>
        <v>172.29.10.69</v>
      </c>
      <c r="M77" s="32">
        <f>J77+30000</f>
        <v>37625</v>
      </c>
      <c r="N77" s="32" t="str">
        <f t="shared" si="21"/>
        <v>172.29.10.70</v>
      </c>
      <c r="O77" s="32">
        <f t="shared" si="18"/>
        <v>47625</v>
      </c>
      <c r="P77" s="32" t="s">
        <v>94</v>
      </c>
      <c r="Q77" s="49" t="s">
        <v>95</v>
      </c>
      <c r="R77" s="3" t="str">
        <f t="shared" si="19"/>
        <v>"79":{"rules":{"179":{"type":"con","Desc":"Base24-POS5-01","dst":{"mode":"client","raddr":"172.19.211.101:7625","rhdr":"cbco"},"src":{"37625":{"raddr":"172.29.10.69:0","lhdr":"cbco"},"47625":{"raddr":"172.29.10.70:0","lhdr":"cbco"}},"plugin": {"file":"slb_plugin_rm_biciso.so","type":"RM"}},</v>
      </c>
    </row>
    <row r="78" spans="1:18" ht="15" thickBot="1">
      <c r="A78" s="40"/>
      <c r="B78" s="16" t="s">
        <v>1346</v>
      </c>
      <c r="C78" s="125"/>
      <c r="D78" s="29">
        <f>$A$77+200</f>
        <v>279</v>
      </c>
      <c r="E78" s="17"/>
      <c r="F78" s="17" t="s">
        <v>14</v>
      </c>
      <c r="G78" s="17"/>
      <c r="H78" s="17" t="s">
        <v>56</v>
      </c>
      <c r="I78" s="17" t="s">
        <v>231</v>
      </c>
      <c r="J78" s="29" t="s">
        <v>1310</v>
      </c>
      <c r="K78" s="35" t="s">
        <v>56</v>
      </c>
      <c r="L78" s="35" t="str">
        <f t="shared" si="17"/>
        <v>172.29.10.69</v>
      </c>
      <c r="M78" s="32">
        <f t="shared" ref="M78:M82" si="22">J78+30000</f>
        <v>37626</v>
      </c>
      <c r="N78" s="35" t="str">
        <f t="shared" si="21"/>
        <v>172.29.10.70</v>
      </c>
      <c r="O78" s="35">
        <f t="shared" si="18"/>
        <v>47626</v>
      </c>
      <c r="P78" s="35" t="s">
        <v>94</v>
      </c>
      <c r="Q78" s="36" t="s">
        <v>95</v>
      </c>
      <c r="R78" s="3" t="str">
        <f t="shared" si="19"/>
        <v>"279":{"type":"con","Desc":"Base24-POS5-02","dst":{"mode":"client","raddr":"172.19.211.101:7626","rhdr":"cbco"},"src":{"37626":{"raddr":"172.29.10.69:0","lhdr":"cbco"},"47626":{"raddr":"172.29.10.70:0","lhdr":"cbco"}},"plugin": {"file":"slb_plugin_rm_biciso.so","type":"RM"}},</v>
      </c>
    </row>
    <row r="79" spans="1:18" ht="15" thickBot="1">
      <c r="A79" s="47"/>
      <c r="B79" s="23" t="s">
        <v>1347</v>
      </c>
      <c r="C79" s="23"/>
      <c r="D79" s="29">
        <f>$A$77+300</f>
        <v>379</v>
      </c>
      <c r="E79" s="29"/>
      <c r="F79" s="29" t="s">
        <v>14</v>
      </c>
      <c r="G79" s="29"/>
      <c r="H79" s="29" t="s">
        <v>56</v>
      </c>
      <c r="I79" s="17" t="s">
        <v>236</v>
      </c>
      <c r="J79" s="29" t="s">
        <v>1311</v>
      </c>
      <c r="K79" s="32" t="s">
        <v>56</v>
      </c>
      <c r="L79" s="32" t="str">
        <f t="shared" si="17"/>
        <v>172.29.10.69</v>
      </c>
      <c r="M79" s="32">
        <f t="shared" si="22"/>
        <v>37627</v>
      </c>
      <c r="N79" s="32" t="str">
        <f t="shared" si="21"/>
        <v>172.29.10.70</v>
      </c>
      <c r="O79" s="32">
        <f t="shared" si="18"/>
        <v>47627</v>
      </c>
      <c r="P79" s="32" t="s">
        <v>94</v>
      </c>
      <c r="Q79" s="49" t="s">
        <v>95</v>
      </c>
      <c r="R79" s="3" t="str">
        <f t="shared" si="19"/>
        <v>"379":{"type":"con","Desc":"Base24-POS5-03","dst":{"mode":"client","raddr":"172.19.211.102:7627","rhdr":"cbco"},"src":{"37627":{"raddr":"172.29.10.69:0","lhdr":"cbco"},"47627":{"raddr":"172.29.10.70:0","lhdr":"cbco"}},"plugin": {"file":"slb_plugin_rm_biciso.so","type":"RM"}},</v>
      </c>
    </row>
    <row r="80" spans="1:18" ht="15" thickBot="1">
      <c r="A80" s="40"/>
      <c r="B80" s="16" t="s">
        <v>1348</v>
      </c>
      <c r="C80" s="125"/>
      <c r="D80" s="29">
        <f>$A$77+400</f>
        <v>479</v>
      </c>
      <c r="E80" s="17"/>
      <c r="F80" s="17" t="s">
        <v>14</v>
      </c>
      <c r="G80" s="17"/>
      <c r="H80" s="17" t="s">
        <v>56</v>
      </c>
      <c r="I80" s="17" t="s">
        <v>236</v>
      </c>
      <c r="J80" s="29" t="s">
        <v>1312</v>
      </c>
      <c r="K80" s="35" t="s">
        <v>56</v>
      </c>
      <c r="L80" s="35" t="str">
        <f t="shared" si="17"/>
        <v>172.29.10.69</v>
      </c>
      <c r="M80" s="32">
        <f t="shared" si="22"/>
        <v>37628</v>
      </c>
      <c r="N80" s="35" t="str">
        <f t="shared" si="21"/>
        <v>172.29.10.70</v>
      </c>
      <c r="O80" s="35">
        <f t="shared" si="18"/>
        <v>47628</v>
      </c>
      <c r="P80" s="35" t="s">
        <v>94</v>
      </c>
      <c r="Q80" s="36" t="s">
        <v>95</v>
      </c>
      <c r="R80" s="3" t="str">
        <f t="shared" si="19"/>
        <v>"479":{"type":"con","Desc":"Base24-POS5-04","dst":{"mode":"client","raddr":"172.19.211.102:7628","rhdr":"cbco"},"src":{"37628":{"raddr":"172.29.10.69:0","lhdr":"cbco"},"47628":{"raddr":"172.29.10.70:0","lhdr":"cbco"}},"plugin": {"file":"slb_plugin_rm_biciso.so","type":"RM"}},</v>
      </c>
    </row>
    <row r="81" spans="1:18" ht="15" thickBot="1">
      <c r="A81" s="47"/>
      <c r="B81" s="23" t="s">
        <v>1349</v>
      </c>
      <c r="C81" s="23"/>
      <c r="D81" s="29">
        <f>$A$77+500</f>
        <v>579</v>
      </c>
      <c r="E81" s="29"/>
      <c r="F81" s="29" t="s">
        <v>14</v>
      </c>
      <c r="G81" s="29"/>
      <c r="H81" s="29" t="s">
        <v>56</v>
      </c>
      <c r="I81" s="17" t="s">
        <v>242</v>
      </c>
      <c r="J81" s="29" t="s">
        <v>1313</v>
      </c>
      <c r="K81" s="32" t="s">
        <v>56</v>
      </c>
      <c r="L81" s="32" t="str">
        <f t="shared" si="17"/>
        <v>172.29.10.69</v>
      </c>
      <c r="M81" s="32">
        <f t="shared" si="22"/>
        <v>37629</v>
      </c>
      <c r="N81" s="32" t="str">
        <f t="shared" si="21"/>
        <v>172.29.10.70</v>
      </c>
      <c r="O81" s="32">
        <f t="shared" si="18"/>
        <v>47629</v>
      </c>
      <c r="P81" s="32" t="s">
        <v>94</v>
      </c>
      <c r="Q81" s="49" t="s">
        <v>95</v>
      </c>
      <c r="R81" s="3" t="str">
        <f t="shared" si="19"/>
        <v>"579":{"type":"con","Desc":"Base24-POS5-05","dst":{"mode":"client","raddr":"172.19.211.103:7629","rhdr":"cbco"},"src":{"37629":{"raddr":"172.29.10.69:0","lhdr":"cbco"},"47629":{"raddr":"172.29.10.70:0","lhdr":"cbco"}},"plugin": {"file":"slb_plugin_rm_biciso.so","type":"RM"}},</v>
      </c>
    </row>
    <row r="82" spans="1:18" ht="15" thickBot="1">
      <c r="A82" s="40"/>
      <c r="B82" s="16" t="s">
        <v>1350</v>
      </c>
      <c r="C82" s="125"/>
      <c r="D82" s="29">
        <f>$A$77+600</f>
        <v>679</v>
      </c>
      <c r="E82" s="17"/>
      <c r="F82" s="17" t="s">
        <v>14</v>
      </c>
      <c r="G82" s="17"/>
      <c r="H82" s="17" t="s">
        <v>56</v>
      </c>
      <c r="I82" s="17" t="s">
        <v>242</v>
      </c>
      <c r="J82" s="29" t="s">
        <v>1314</v>
      </c>
      <c r="K82" s="35" t="s">
        <v>56</v>
      </c>
      <c r="L82" s="35" t="str">
        <f t="shared" si="17"/>
        <v>172.29.10.69</v>
      </c>
      <c r="M82" s="32">
        <f t="shared" si="22"/>
        <v>37630</v>
      </c>
      <c r="N82" s="35" t="str">
        <f t="shared" si="21"/>
        <v>172.29.10.70</v>
      </c>
      <c r="O82" s="35">
        <f t="shared" si="18"/>
        <v>47630</v>
      </c>
      <c r="P82" s="35" t="s">
        <v>94</v>
      </c>
      <c r="Q82" s="36" t="s">
        <v>96</v>
      </c>
      <c r="R82" s="3" t="str">
        <f t="shared" si="19"/>
        <v>"679":{"type":"con","Desc":"Base24-POS5-06","dst":{"mode":"client","raddr":"172.19.211.103:7630","rhdr":"cbco"},"src":{"37630":{"raddr":"172.29.10.69:0","lhdr":"cbco"},"47630":{"raddr":"172.29.10.70:0","lhdr":"cbco"}},"plugin": {"file":"slb_plugin_rm_biciso.so","type":"RM"}}}},</v>
      </c>
    </row>
    <row r="83" spans="1:18" ht="15" thickBot="1">
      <c r="A83" s="47">
        <v>80</v>
      </c>
      <c r="B83" s="23" t="s">
        <v>1351</v>
      </c>
      <c r="C83" s="23"/>
      <c r="D83" s="29">
        <f>$A$83+100</f>
        <v>180</v>
      </c>
      <c r="E83" s="29"/>
      <c r="F83" s="29" t="s">
        <v>14</v>
      </c>
      <c r="G83" s="29"/>
      <c r="H83" s="29" t="s">
        <v>56</v>
      </c>
      <c r="I83" s="17" t="s">
        <v>231</v>
      </c>
      <c r="J83" s="29" t="s">
        <v>1315</v>
      </c>
      <c r="K83" s="32" t="s">
        <v>56</v>
      </c>
      <c r="L83" s="32" t="str">
        <f t="shared" si="17"/>
        <v>172.29.10.69</v>
      </c>
      <c r="M83" s="32">
        <f>J83+30000</f>
        <v>37631</v>
      </c>
      <c r="N83" s="32" t="str">
        <f t="shared" si="21"/>
        <v>172.29.10.70</v>
      </c>
      <c r="O83" s="32">
        <f t="shared" si="18"/>
        <v>47631</v>
      </c>
      <c r="P83" s="32" t="s">
        <v>94</v>
      </c>
      <c r="Q83" s="49" t="s">
        <v>95</v>
      </c>
      <c r="R83" s="3" t="str">
        <f t="shared" si="19"/>
        <v>"80":{"rules":{"180":{"type":"con","Desc":"Base24-POS6-01","dst":{"mode":"client","raddr":"172.19.211.101:7631","rhdr":"cbco"},"src":{"37631":{"raddr":"172.29.10.69:0","lhdr":"cbco"},"47631":{"raddr":"172.29.10.70:0","lhdr":"cbco"}},"plugin": {"file":"slb_plugin_rm_biciso.so","type":"RM"}},</v>
      </c>
    </row>
    <row r="84" spans="1:18" ht="15" thickBot="1">
      <c r="A84" s="40"/>
      <c r="B84" s="16" t="s">
        <v>1352</v>
      </c>
      <c r="C84" s="125"/>
      <c r="D84" s="29">
        <f>$A$83+200</f>
        <v>280</v>
      </c>
      <c r="E84" s="17"/>
      <c r="F84" s="17" t="s">
        <v>14</v>
      </c>
      <c r="G84" s="17"/>
      <c r="H84" s="17" t="s">
        <v>56</v>
      </c>
      <c r="I84" s="17" t="s">
        <v>231</v>
      </c>
      <c r="J84" s="29" t="s">
        <v>1316</v>
      </c>
      <c r="K84" s="35" t="s">
        <v>56</v>
      </c>
      <c r="L84" s="35" t="str">
        <f t="shared" si="17"/>
        <v>172.29.10.69</v>
      </c>
      <c r="M84" s="32">
        <f t="shared" ref="M84:M90" si="23">J84+30000</f>
        <v>37632</v>
      </c>
      <c r="N84" s="35" t="str">
        <f t="shared" si="21"/>
        <v>172.29.10.70</v>
      </c>
      <c r="O84" s="35">
        <f t="shared" si="18"/>
        <v>47632</v>
      </c>
      <c r="P84" s="35" t="s">
        <v>94</v>
      </c>
      <c r="Q84" s="36" t="s">
        <v>95</v>
      </c>
      <c r="R84" s="3" t="str">
        <f t="shared" si="19"/>
        <v>"280":{"type":"con","Desc":"Base24-POS6-02","dst":{"mode":"client","raddr":"172.19.211.101:7632","rhdr":"cbco"},"src":{"37632":{"raddr":"172.29.10.69:0","lhdr":"cbco"},"47632":{"raddr":"172.29.10.70:0","lhdr":"cbco"}},"plugin": {"file":"slb_plugin_rm_biciso.so","type":"RM"}},</v>
      </c>
    </row>
    <row r="85" spans="1:18" ht="15" thickBot="1">
      <c r="A85" s="47"/>
      <c r="B85" s="23" t="s">
        <v>1353</v>
      </c>
      <c r="C85" s="23"/>
      <c r="D85" s="29">
        <f>$A$83+300</f>
        <v>380</v>
      </c>
      <c r="E85" s="29"/>
      <c r="F85" s="29" t="s">
        <v>14</v>
      </c>
      <c r="G85" s="29"/>
      <c r="H85" s="29" t="s">
        <v>56</v>
      </c>
      <c r="I85" s="17" t="s">
        <v>236</v>
      </c>
      <c r="J85" s="29" t="s">
        <v>1317</v>
      </c>
      <c r="K85" s="32" t="s">
        <v>56</v>
      </c>
      <c r="L85" s="32" t="str">
        <f t="shared" si="17"/>
        <v>172.29.10.69</v>
      </c>
      <c r="M85" s="32">
        <f t="shared" si="23"/>
        <v>37633</v>
      </c>
      <c r="N85" s="32" t="str">
        <f t="shared" si="21"/>
        <v>172.29.10.70</v>
      </c>
      <c r="O85" s="32">
        <f t="shared" si="18"/>
        <v>47633</v>
      </c>
      <c r="P85" s="32" t="s">
        <v>94</v>
      </c>
      <c r="Q85" s="49" t="s">
        <v>95</v>
      </c>
      <c r="R85" s="3" t="str">
        <f t="shared" si="19"/>
        <v>"380":{"type":"con","Desc":"Base24-POS6-03","dst":{"mode":"client","raddr":"172.19.211.102:7633","rhdr":"cbco"},"src":{"37633":{"raddr":"172.29.10.69:0","lhdr":"cbco"},"47633":{"raddr":"172.29.10.70:0","lhdr":"cbco"}},"plugin": {"file":"slb_plugin_rm_biciso.so","type":"RM"}},</v>
      </c>
    </row>
    <row r="86" spans="1:18" ht="15" thickBot="1">
      <c r="A86" s="40"/>
      <c r="B86" s="16" t="s">
        <v>1354</v>
      </c>
      <c r="C86" s="125"/>
      <c r="D86" s="29">
        <f>$A$83+400</f>
        <v>480</v>
      </c>
      <c r="E86" s="17"/>
      <c r="F86" s="17" t="s">
        <v>14</v>
      </c>
      <c r="G86" s="17"/>
      <c r="H86" s="17" t="s">
        <v>56</v>
      </c>
      <c r="I86" s="17" t="s">
        <v>236</v>
      </c>
      <c r="J86" s="29" t="s">
        <v>1318</v>
      </c>
      <c r="K86" s="35" t="s">
        <v>56</v>
      </c>
      <c r="L86" s="35" t="str">
        <f t="shared" si="17"/>
        <v>172.29.10.69</v>
      </c>
      <c r="M86" s="32">
        <f t="shared" si="23"/>
        <v>37634</v>
      </c>
      <c r="N86" s="35" t="str">
        <f t="shared" si="21"/>
        <v>172.29.10.70</v>
      </c>
      <c r="O86" s="35">
        <f t="shared" si="18"/>
        <v>47634</v>
      </c>
      <c r="P86" s="35" t="s">
        <v>94</v>
      </c>
      <c r="Q86" s="36" t="s">
        <v>95</v>
      </c>
      <c r="R86" s="3" t="str">
        <f t="shared" si="19"/>
        <v>"480":{"type":"con","Desc":"Base24-POS6-04","dst":{"mode":"client","raddr":"172.19.211.102:7634","rhdr":"cbco"},"src":{"37634":{"raddr":"172.29.10.69:0","lhdr":"cbco"},"47634":{"raddr":"172.29.10.70:0","lhdr":"cbco"}},"plugin": {"file":"slb_plugin_rm_biciso.so","type":"RM"}},</v>
      </c>
    </row>
    <row r="87" spans="1:18" ht="15" thickBot="1">
      <c r="A87" s="47"/>
      <c r="B87" s="23" t="s">
        <v>1355</v>
      </c>
      <c r="C87" s="23"/>
      <c r="D87" s="29">
        <f>$A$83+500</f>
        <v>580</v>
      </c>
      <c r="E87" s="29"/>
      <c r="F87" s="29" t="s">
        <v>14</v>
      </c>
      <c r="G87" s="29"/>
      <c r="H87" s="29" t="s">
        <v>56</v>
      </c>
      <c r="I87" s="17" t="s">
        <v>242</v>
      </c>
      <c r="J87" s="29" t="s">
        <v>1319</v>
      </c>
      <c r="K87" s="32" t="s">
        <v>56</v>
      </c>
      <c r="L87" s="32" t="str">
        <f t="shared" si="17"/>
        <v>172.29.10.69</v>
      </c>
      <c r="M87" s="32">
        <f t="shared" si="23"/>
        <v>37635</v>
      </c>
      <c r="N87" s="32" t="str">
        <f t="shared" si="21"/>
        <v>172.29.10.70</v>
      </c>
      <c r="O87" s="32">
        <f t="shared" ref="O87:O90" si="24">+M87+10000</f>
        <v>47635</v>
      </c>
      <c r="P87" s="32" t="s">
        <v>94</v>
      </c>
      <c r="Q87" s="49" t="s">
        <v>95</v>
      </c>
      <c r="R87" s="3" t="str">
        <f t="shared" ref="R87:R92" si="25">CONCATENATE(IF(A87&lt;&gt;"",CONCATENATE("""",A87,"""",":{","""","rules","""",":{"),""),"""",D87,""":{""type"":""con"",""Desc"":""",B87,""",""dst"":{""mode"":""",F87,""",""raddr"":""",IF(F87="server",G87,I87),":",IF(F87="server",0,J87),""",""",IF(F87="server","lport","rhdr"),""":""",IF(F87="server",J87,""),IF(F87="server"," ",""),H87,"""},""src"":{""",M87,""":{""raddr"":""",L87,":0"",""lhdr"":""",K87,"""","},","""",O87,""":{""raddr"":""",N87,":0"",""lhdr"":""",K87,IF(P87&lt;&gt;"",CONCATENATE("""}},","""plugin""",": {","""file""",":""",P87,""",","""type""",":","""","RM",""""),""""),Q87)</f>
        <v>"580":{"type":"con","Desc":"Base24-POS6-05","dst":{"mode":"client","raddr":"172.19.211.103:7635","rhdr":"cbco"},"src":{"37635":{"raddr":"172.29.10.69:0","lhdr":"cbco"},"47635":{"raddr":"172.29.10.70:0","lhdr":"cbco"}},"plugin": {"file":"slb_plugin_rm_biciso.so","type":"RM"}},</v>
      </c>
    </row>
    <row r="88" spans="1:18" ht="15" thickBot="1">
      <c r="A88" s="40"/>
      <c r="B88" s="16" t="s">
        <v>1356</v>
      </c>
      <c r="C88" s="125"/>
      <c r="D88" s="29">
        <f>$A$83+600</f>
        <v>680</v>
      </c>
      <c r="E88" s="17"/>
      <c r="F88" s="17" t="s">
        <v>14</v>
      </c>
      <c r="G88" s="17"/>
      <c r="H88" s="17" t="s">
        <v>56</v>
      </c>
      <c r="I88" s="17" t="s">
        <v>242</v>
      </c>
      <c r="J88" s="29" t="s">
        <v>1320</v>
      </c>
      <c r="K88" s="35" t="s">
        <v>56</v>
      </c>
      <c r="L88" s="35" t="str">
        <f t="shared" si="17"/>
        <v>172.29.10.69</v>
      </c>
      <c r="M88" s="32">
        <f t="shared" si="23"/>
        <v>37636</v>
      </c>
      <c r="N88" s="35" t="str">
        <f t="shared" si="21"/>
        <v>172.29.10.70</v>
      </c>
      <c r="O88" s="35">
        <f t="shared" si="24"/>
        <v>47636</v>
      </c>
      <c r="P88" s="35" t="s">
        <v>94</v>
      </c>
      <c r="Q88" s="36" t="s">
        <v>96</v>
      </c>
      <c r="R88" s="3" t="str">
        <f t="shared" si="25"/>
        <v>"680":{"type":"con","Desc":"Base24-POS6-06","dst":{"mode":"client","raddr":"172.19.211.103:7636","rhdr":"cbco"},"src":{"37636":{"raddr":"172.29.10.69:0","lhdr":"cbco"},"47636":{"raddr":"172.29.10.70:0","lhdr":"cbco"}},"plugin": {"file":"slb_plugin_rm_biciso.so","type":"RM"}}}},</v>
      </c>
    </row>
    <row r="89" spans="1:18" ht="15" thickBot="1">
      <c r="A89" s="21">
        <v>81</v>
      </c>
      <c r="B89" s="23" t="s">
        <v>193</v>
      </c>
      <c r="C89" s="23"/>
      <c r="D89" s="29">
        <f>$A$89+100</f>
        <v>181</v>
      </c>
      <c r="E89" s="22"/>
      <c r="F89" s="22" t="s">
        <v>8</v>
      </c>
      <c r="G89" s="22" t="s">
        <v>1389</v>
      </c>
      <c r="H89" s="17" t="s">
        <v>55</v>
      </c>
      <c r="I89" s="22"/>
      <c r="J89" s="22">
        <v>8615</v>
      </c>
      <c r="K89" s="32" t="s">
        <v>55</v>
      </c>
      <c r="L89" s="35" t="str">
        <f t="shared" si="17"/>
        <v>172.29.10.69</v>
      </c>
      <c r="M89" s="32">
        <f t="shared" si="23"/>
        <v>38615</v>
      </c>
      <c r="N89" s="35" t="str">
        <f t="shared" si="21"/>
        <v>172.29.10.70</v>
      </c>
      <c r="O89" s="35">
        <f t="shared" si="24"/>
        <v>48615</v>
      </c>
      <c r="P89" s="35" t="s">
        <v>94</v>
      </c>
      <c r="Q89" s="49" t="s">
        <v>95</v>
      </c>
      <c r="R89" s="3" t="str">
        <f t="shared" si="25"/>
        <v>"81":{"rules":{"181":{"type":"con","Desc":"Cencosud In 1","dst":{"mode":"server","raddr":"172.19.202.183:0","lport":"8615 BHb2"},"src":{"38615":{"raddr":"172.29.10.69:0","lhdr":"BHb2"},"48615":{"raddr":"172.29.10.70:0","lhdr":"BHb2"}},"plugin": {"file":"slb_plugin_rm_biciso.so","type":"RM"}},</v>
      </c>
    </row>
    <row r="90" spans="1:18" ht="15" thickBot="1">
      <c r="A90" s="21"/>
      <c r="B90" s="7" t="s">
        <v>194</v>
      </c>
      <c r="C90" s="18"/>
      <c r="D90" s="29">
        <f>$A$89+200</f>
        <v>281</v>
      </c>
      <c r="E90" s="22"/>
      <c r="F90" s="22" t="s">
        <v>8</v>
      </c>
      <c r="G90" s="22" t="s">
        <v>1389</v>
      </c>
      <c r="H90" s="17" t="s">
        <v>55</v>
      </c>
      <c r="I90" s="22"/>
      <c r="J90" s="22">
        <v>8715</v>
      </c>
      <c r="K90" s="32" t="s">
        <v>55</v>
      </c>
      <c r="L90" s="35" t="str">
        <f t="shared" si="17"/>
        <v>172.29.10.69</v>
      </c>
      <c r="M90" s="32">
        <f t="shared" si="23"/>
        <v>38715</v>
      </c>
      <c r="N90" s="35" t="str">
        <f t="shared" si="21"/>
        <v>172.29.10.70</v>
      </c>
      <c r="O90" s="35">
        <f t="shared" si="24"/>
        <v>48715</v>
      </c>
      <c r="P90" s="35" t="s">
        <v>94</v>
      </c>
      <c r="Q90" s="36" t="s">
        <v>95</v>
      </c>
      <c r="R90" s="3" t="str">
        <f t="shared" si="25"/>
        <v>"281":{"type":"con","Desc":"Cencosud In 2","dst":{"mode":"server","raddr":"172.19.202.183:0","lport":"8715 BHb2"},"src":{"38715":{"raddr":"172.29.10.69:0","lhdr":"BHb2"},"48715":{"raddr":"172.29.10.70:0","lhdr":"BHb2"}},"plugin": {"file":"slb_plugin_rm_biciso.so","type":"RM"}},</v>
      </c>
    </row>
    <row r="91" spans="1:18" ht="15" thickBot="1">
      <c r="A91" s="21"/>
      <c r="B91" s="7" t="s">
        <v>195</v>
      </c>
      <c r="C91" s="18"/>
      <c r="D91" s="29">
        <f>$A$89+300</f>
        <v>381</v>
      </c>
      <c r="E91" s="22"/>
      <c r="F91" s="22" t="s">
        <v>14</v>
      </c>
      <c r="G91" s="22"/>
      <c r="H91" s="17" t="s">
        <v>55</v>
      </c>
      <c r="I91" s="17" t="s">
        <v>236</v>
      </c>
      <c r="J91" s="22">
        <v>8615</v>
      </c>
      <c r="K91" s="32" t="s">
        <v>55</v>
      </c>
      <c r="L91" s="35" t="str">
        <f t="shared" si="17"/>
        <v>172.29.10.69</v>
      </c>
      <c r="M91" s="32">
        <f>J91+50000</f>
        <v>58615</v>
      </c>
      <c r="N91" s="35" t="str">
        <f t="shared" si="21"/>
        <v>172.29.10.70</v>
      </c>
      <c r="O91" s="35">
        <f>+M91+-30000</f>
        <v>28615</v>
      </c>
      <c r="P91" s="35" t="s">
        <v>94</v>
      </c>
      <c r="Q91" s="49" t="s">
        <v>95</v>
      </c>
      <c r="R91" s="3" t="str">
        <f t="shared" si="25"/>
        <v>"381":{"type":"con","Desc":"Cencosud Out 1","dst":{"mode":"client","raddr":"172.19.211.102:8615","rhdr":"BHb2"},"src":{"58615":{"raddr":"172.29.10.69:0","lhdr":"BHb2"},"28615":{"raddr":"172.29.10.70:0","lhdr":"BHb2"}},"plugin": {"file":"slb_plugin_rm_biciso.so","type":"RM"}},</v>
      </c>
    </row>
    <row r="92" spans="1:18" ht="15" thickBot="1">
      <c r="A92" s="21"/>
      <c r="B92" s="16" t="s">
        <v>196</v>
      </c>
      <c r="C92" s="125"/>
      <c r="D92" s="29">
        <f>$A$89+400</f>
        <v>481</v>
      </c>
      <c r="E92" s="22"/>
      <c r="F92" s="22" t="s">
        <v>14</v>
      </c>
      <c r="G92" s="22"/>
      <c r="H92" s="17" t="s">
        <v>55</v>
      </c>
      <c r="I92" s="17" t="s">
        <v>236</v>
      </c>
      <c r="J92" s="22">
        <v>8715</v>
      </c>
      <c r="K92" s="32" t="s">
        <v>55</v>
      </c>
      <c r="L92" s="35" t="str">
        <f t="shared" si="17"/>
        <v>172.29.10.69</v>
      </c>
      <c r="M92" s="32">
        <f>J92+50000</f>
        <v>58715</v>
      </c>
      <c r="N92" s="35" t="str">
        <f t="shared" si="21"/>
        <v>172.29.10.70</v>
      </c>
      <c r="O92" s="35">
        <f>+M92+-30000</f>
        <v>28715</v>
      </c>
      <c r="P92" s="35" t="s">
        <v>94</v>
      </c>
      <c r="Q92" s="36" t="s">
        <v>96</v>
      </c>
      <c r="R92" s="3" t="str">
        <f t="shared" si="25"/>
        <v>"481":{"type":"con","Desc":"Cencosud Out 2","dst":{"mode":"client","raddr":"172.19.211.102:8715","rhdr":"BHb2"},"src":{"58715":{"raddr":"172.29.10.69:0","lhdr":"BHb2"},"28715":{"raddr":"172.29.10.70:0","lhdr":"BHb2"}},"plugin": {"file":"slb_plugin_rm_biciso.so","type":"RM"}}}},</v>
      </c>
    </row>
    <row r="93" spans="1:18" ht="15" thickBot="1">
      <c r="A93" s="21">
        <v>82</v>
      </c>
      <c r="B93" s="23" t="s">
        <v>1428</v>
      </c>
      <c r="C93" s="23"/>
      <c r="D93" s="29">
        <v>182</v>
      </c>
      <c r="E93" s="93" t="s">
        <v>1263</v>
      </c>
      <c r="F93" s="29" t="s">
        <v>8</v>
      </c>
      <c r="G93" s="29" t="s">
        <v>1432</v>
      </c>
      <c r="H93" s="29" t="s">
        <v>55</v>
      </c>
      <c r="I93" s="29"/>
      <c r="J93" s="29">
        <v>8810</v>
      </c>
      <c r="K93" s="32" t="s">
        <v>55</v>
      </c>
      <c r="L93" s="35" t="str">
        <f t="shared" si="17"/>
        <v>172.29.10.69</v>
      </c>
      <c r="M93" s="32">
        <f t="shared" ref="M93:M94" si="26">J93+30000</f>
        <v>38810</v>
      </c>
      <c r="N93" s="35" t="str">
        <f t="shared" si="21"/>
        <v>172.29.10.70</v>
      </c>
      <c r="O93" s="35">
        <f t="shared" ref="O93:O94" si="27">+M93+10000</f>
        <v>48810</v>
      </c>
      <c r="P93" s="35" t="s">
        <v>94</v>
      </c>
      <c r="Q93" s="49" t="s">
        <v>95</v>
      </c>
      <c r="R93" s="3" t="str">
        <f t="shared" ref="R93:R96" si="28">CONCATENATE(IF(A93&lt;&gt;"",CONCATENATE("""",A93,"""",":{","""","rules","""",":{"),""),"""",D93,""":{""type"":""con"",""Desc"":""",B93,""",""dst"":{""mode"":""",F93,""",""raddr"":""",IF(F93="server",G93,I93),":",IF(F93="server",0,J93),""",""",IF(F93="server","lport","rhdr"),""":""",IF(F93="server",J93,""),IF(F93="server"," ",""),H93,"""},""src"":{""",M93,""":{""raddr"":""",L93,":0"",""lhdr"":""",K93,"""","},","""",O93,""":{""raddr"":""",N93,":0"",""lhdr"":""",K93,IF(P93&lt;&gt;"",CONCATENATE("""}},","""plugin""",": {","""file""",":""",P93,""",","""type""",":","""","RM",""""),""""),Q93)</f>
        <v>"82":{"rules":{"182":{"type":"con","Desc":"ETEK In 1","dst":{"mode":"server","raddr":"172.100.3.24:0","lport":"8810 BHb2"},"src":{"38810":{"raddr":"172.29.10.69:0","lhdr":"BHb2"},"48810":{"raddr":"172.29.10.70:0","lhdr":"BHb2"}},"plugin": {"file":"slb_plugin_rm_biciso.so","type":"RM"}},</v>
      </c>
    </row>
    <row r="94" spans="1:18" ht="15" thickBot="1">
      <c r="A94" s="21"/>
      <c r="B94" s="7" t="s">
        <v>1429</v>
      </c>
      <c r="C94" s="7"/>
      <c r="D94" s="8">
        <v>282</v>
      </c>
      <c r="E94" s="43" t="s">
        <v>1264</v>
      </c>
      <c r="F94" s="8" t="s">
        <v>8</v>
      </c>
      <c r="G94" s="8" t="s">
        <v>1432</v>
      </c>
      <c r="H94" s="8" t="s">
        <v>55</v>
      </c>
      <c r="I94" s="8"/>
      <c r="J94" s="8">
        <v>8811</v>
      </c>
      <c r="K94" s="32" t="s">
        <v>55</v>
      </c>
      <c r="L94" s="35" t="str">
        <f t="shared" si="17"/>
        <v>172.29.10.69</v>
      </c>
      <c r="M94" s="32">
        <f t="shared" si="26"/>
        <v>38811</v>
      </c>
      <c r="N94" s="35" t="str">
        <f t="shared" si="21"/>
        <v>172.29.10.70</v>
      </c>
      <c r="O94" s="35">
        <f t="shared" si="27"/>
        <v>48811</v>
      </c>
      <c r="P94" s="35" t="s">
        <v>94</v>
      </c>
      <c r="Q94" s="36" t="s">
        <v>95</v>
      </c>
      <c r="R94" s="3" t="str">
        <f t="shared" si="28"/>
        <v>"282":{"type":"con","Desc":"ETEK In 2","dst":{"mode":"server","raddr":"172.100.3.24:0","lport":"8811 BHb2"},"src":{"38811":{"raddr":"172.29.10.69:0","lhdr":"BHb2"},"48811":{"raddr":"172.29.10.70:0","lhdr":"BHb2"}},"plugin": {"file":"slb_plugin_rm_biciso.so","type":"RM"}},</v>
      </c>
    </row>
    <row r="95" spans="1:18" ht="15" thickBot="1">
      <c r="A95" s="21"/>
      <c r="B95" s="7" t="s">
        <v>1430</v>
      </c>
      <c r="C95" s="7"/>
      <c r="D95" s="8">
        <v>382</v>
      </c>
      <c r="E95" s="43" t="s">
        <v>1265</v>
      </c>
      <c r="F95" s="8" t="s">
        <v>14</v>
      </c>
      <c r="G95" s="8"/>
      <c r="H95" s="8" t="s">
        <v>55</v>
      </c>
      <c r="I95" s="8" t="s">
        <v>236</v>
      </c>
      <c r="J95" s="8">
        <v>8810</v>
      </c>
      <c r="K95" s="32" t="s">
        <v>55</v>
      </c>
      <c r="L95" s="35" t="str">
        <f t="shared" si="17"/>
        <v>172.29.10.69</v>
      </c>
      <c r="M95" s="32">
        <f>J95+50000</f>
        <v>58810</v>
      </c>
      <c r="N95" s="35" t="str">
        <f t="shared" si="21"/>
        <v>172.29.10.70</v>
      </c>
      <c r="O95" s="35">
        <f>+M95+-30000</f>
        <v>28810</v>
      </c>
      <c r="P95" s="35" t="s">
        <v>94</v>
      </c>
      <c r="Q95" s="49" t="s">
        <v>95</v>
      </c>
      <c r="R95" s="3" t="str">
        <f t="shared" si="28"/>
        <v>"382":{"type":"con","Desc":"ETEK Out 1","dst":{"mode":"client","raddr":"172.19.211.102:8810","rhdr":"BHb2"},"src":{"58810":{"raddr":"172.29.10.69:0","lhdr":"BHb2"},"28810":{"raddr":"172.29.10.70:0","lhdr":"BHb2"}},"plugin": {"file":"slb_plugin_rm_biciso.so","type":"RM"}},</v>
      </c>
    </row>
    <row r="96" spans="1:18" ht="15" thickBot="1">
      <c r="A96" s="21"/>
      <c r="B96" s="16" t="s">
        <v>1431</v>
      </c>
      <c r="C96" s="16"/>
      <c r="D96" s="17">
        <v>482</v>
      </c>
      <c r="E96" s="44" t="s">
        <v>1266</v>
      </c>
      <c r="F96" s="17" t="s">
        <v>14</v>
      </c>
      <c r="G96" s="17"/>
      <c r="H96" s="17" t="s">
        <v>55</v>
      </c>
      <c r="I96" s="17" t="s">
        <v>236</v>
      </c>
      <c r="J96" s="17">
        <v>8811</v>
      </c>
      <c r="K96" s="32" t="s">
        <v>55</v>
      </c>
      <c r="L96" s="35" t="str">
        <f t="shared" si="17"/>
        <v>172.29.10.69</v>
      </c>
      <c r="M96" s="32">
        <f>J96+50000</f>
        <v>58811</v>
      </c>
      <c r="N96" s="35" t="str">
        <f t="shared" si="21"/>
        <v>172.29.10.70</v>
      </c>
      <c r="O96" s="35">
        <f>+M96+-30000</f>
        <v>28811</v>
      </c>
      <c r="P96" s="35" t="s">
        <v>94</v>
      </c>
      <c r="Q96" s="36" t="s">
        <v>126</v>
      </c>
      <c r="R96" s="3" t="str">
        <f t="shared" si="28"/>
        <v>"482":{"type":"con","Desc":"ETEK Out 2","dst":{"mode":"client","raddr":"172.19.211.102:8811","rhdr":"BHb2"},"src":{"58811":{"raddr":"172.29.10.69:0","lhdr":"BHb2"},"28811":{"raddr":"172.29.10.70:0","lhdr":"BHb2"}},"plugin": {"file":"slb_plugin_rm_biciso.so","type":"RM"}}}}</v>
      </c>
    </row>
    <row r="97" spans="1:18">
      <c r="A97" s="20"/>
      <c r="B97" s="21"/>
      <c r="C97" s="21"/>
      <c r="D97" s="21"/>
      <c r="E97" s="22"/>
      <c r="F97" s="21"/>
      <c r="K97" s="21"/>
      <c r="L97" s="21"/>
      <c r="M97" s="21"/>
      <c r="N97" s="21"/>
      <c r="O97" s="21"/>
      <c r="P97" s="21"/>
      <c r="Q97" s="39"/>
      <c r="R97" s="3" t="s">
        <v>0</v>
      </c>
    </row>
    <row r="98" spans="1:18">
      <c r="A98" s="20"/>
      <c r="B98" s="21"/>
      <c r="C98" s="21"/>
      <c r="D98" s="21"/>
      <c r="E98" s="22"/>
      <c r="F98" s="21"/>
      <c r="K98" s="21"/>
      <c r="L98" s="21"/>
      <c r="M98" s="21"/>
      <c r="N98" s="21"/>
      <c r="P98" s="21"/>
      <c r="Q98" s="21"/>
      <c r="R98" s="21"/>
    </row>
    <row r="99" spans="1:18">
      <c r="A99" s="20"/>
      <c r="B99" s="21"/>
      <c r="C99" s="21"/>
      <c r="D99" s="21"/>
      <c r="E99" s="22"/>
      <c r="F99" s="21"/>
      <c r="K99" s="21"/>
      <c r="L99" s="21"/>
      <c r="M99" s="21"/>
      <c r="N99" s="21"/>
      <c r="P99" s="21"/>
      <c r="Q99" s="21"/>
      <c r="R99" s="21"/>
    </row>
    <row r="100" spans="1:18">
      <c r="A100" s="20"/>
      <c r="B100" s="21"/>
      <c r="C100" s="21"/>
      <c r="D100" s="21"/>
      <c r="E100" s="22"/>
      <c r="F100" s="21"/>
      <c r="K100" s="21"/>
      <c r="L100" s="21"/>
      <c r="M100" s="21"/>
      <c r="N100" s="21"/>
      <c r="O100" s="21"/>
      <c r="P100" s="21"/>
      <c r="Q100" s="21"/>
      <c r="R100" s="21"/>
    </row>
    <row r="101" spans="1:18">
      <c r="A101" s="20"/>
      <c r="B101" s="21"/>
      <c r="C101" s="21"/>
      <c r="D101" s="21"/>
      <c r="E101" s="22"/>
      <c r="F101" s="21"/>
      <c r="K101" s="21"/>
      <c r="L101" s="21"/>
      <c r="M101" s="21"/>
      <c r="N101" s="21"/>
      <c r="O101" s="21"/>
      <c r="P101" s="21"/>
      <c r="Q101" s="21"/>
      <c r="R101" s="21"/>
    </row>
    <row r="102" spans="1:18">
      <c r="N102" s="21"/>
      <c r="O102" s="21"/>
    </row>
    <row r="105" spans="1:18">
      <c r="A105" s="21"/>
    </row>
  </sheetData>
  <dataValidations count="1">
    <dataValidation type="list" allowBlank="1" showInputMessage="1" showErrorMessage="1" sqref="F5:F101" xr:uid="{00000000-0002-0000-0200-000000000000}">
      <formula1>"server, client"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38"/>
  <sheetViews>
    <sheetView workbookViewId="0">
      <pane ySplit="1" topLeftCell="A75" activePane="bottomLeft" state="frozen"/>
      <selection pane="bottomLeft" activeCell="B94" sqref="B94"/>
    </sheetView>
  </sheetViews>
  <sheetFormatPr defaultColWidth="8.7265625" defaultRowHeight="14.5"/>
  <cols>
    <col min="1" max="1" width="8.7265625" style="66"/>
    <col min="2" max="2" width="24.54296875" style="66" bestFit="1" customWidth="1"/>
    <col min="3" max="3" width="7.81640625" style="66" bestFit="1" customWidth="1"/>
    <col min="4" max="4" width="16.7265625" style="66" bestFit="1" customWidth="1"/>
    <col min="5" max="5" width="11.54296875" style="66" bestFit="1" customWidth="1"/>
    <col min="6" max="6" width="13.453125" style="66" bestFit="1" customWidth="1"/>
    <col min="7" max="7" width="8.453125" style="66" bestFit="1" customWidth="1"/>
    <col min="8" max="16384" width="8.7265625" style="66"/>
  </cols>
  <sheetData>
    <row r="1" spans="1:8">
      <c r="A1" s="66" t="s">
        <v>1248</v>
      </c>
      <c r="B1" s="66" t="s">
        <v>1247</v>
      </c>
      <c r="C1" s="66" t="s">
        <v>58</v>
      </c>
      <c r="D1" s="66" t="s">
        <v>1246</v>
      </c>
      <c r="E1" s="66" t="s">
        <v>1245</v>
      </c>
      <c r="F1" s="66" t="s">
        <v>1244</v>
      </c>
      <c r="G1" s="66" t="s">
        <v>1243</v>
      </c>
      <c r="H1" s="66" t="s">
        <v>79</v>
      </c>
    </row>
    <row r="2" spans="1:8">
      <c r="A2" s="67">
        <v>5007</v>
      </c>
      <c r="B2" s="66" t="s">
        <v>1076</v>
      </c>
      <c r="C2" s="67">
        <v>10731</v>
      </c>
      <c r="D2" s="66" t="s">
        <v>2</v>
      </c>
      <c r="E2" s="66" t="s">
        <v>513</v>
      </c>
      <c r="F2" s="66" t="s">
        <v>1077</v>
      </c>
      <c r="G2" s="66" t="s">
        <v>611</v>
      </c>
      <c r="H2" s="66">
        <v>1</v>
      </c>
    </row>
    <row r="3" spans="1:8">
      <c r="A3" s="67">
        <v>5007</v>
      </c>
      <c r="B3" s="66" t="s">
        <v>1076</v>
      </c>
      <c r="C3" s="67">
        <v>10732</v>
      </c>
      <c r="D3" s="66" t="s">
        <v>2</v>
      </c>
      <c r="E3" s="66" t="s">
        <v>513</v>
      </c>
      <c r="F3" s="66" t="s">
        <v>1075</v>
      </c>
      <c r="G3" s="66" t="s">
        <v>611</v>
      </c>
      <c r="H3" s="66">
        <v>1</v>
      </c>
    </row>
    <row r="4" spans="1:8">
      <c r="A4" s="67">
        <v>5007</v>
      </c>
      <c r="B4" s="66" t="s">
        <v>1073</v>
      </c>
      <c r="C4" s="67">
        <v>10721</v>
      </c>
      <c r="D4" s="66" t="s">
        <v>2</v>
      </c>
      <c r="E4" s="66" t="s">
        <v>513</v>
      </c>
      <c r="F4" s="66" t="s">
        <v>1074</v>
      </c>
      <c r="G4" s="66" t="s">
        <v>611</v>
      </c>
      <c r="H4" s="66">
        <v>1</v>
      </c>
    </row>
    <row r="5" spans="1:8">
      <c r="A5" s="67">
        <v>5007</v>
      </c>
      <c r="B5" s="66" t="s">
        <v>1073</v>
      </c>
      <c r="C5" s="67">
        <v>10722</v>
      </c>
      <c r="D5" s="66" t="s">
        <v>2</v>
      </c>
      <c r="E5" s="66" t="s">
        <v>513</v>
      </c>
      <c r="F5" s="66" t="s">
        <v>1072</v>
      </c>
      <c r="G5" s="66" t="s">
        <v>611</v>
      </c>
      <c r="H5" s="66">
        <v>1</v>
      </c>
    </row>
    <row r="6" spans="1:8">
      <c r="A6" s="67">
        <v>5007</v>
      </c>
      <c r="B6" s="66" t="s">
        <v>1061</v>
      </c>
      <c r="C6" s="67">
        <v>10772</v>
      </c>
      <c r="D6" s="66" t="s">
        <v>2</v>
      </c>
      <c r="E6" s="66" t="s">
        <v>513</v>
      </c>
      <c r="F6" s="66" t="s">
        <v>1062</v>
      </c>
      <c r="G6" s="66" t="s">
        <v>611</v>
      </c>
      <c r="H6" s="66">
        <v>1</v>
      </c>
    </row>
    <row r="7" spans="1:8">
      <c r="A7" s="67">
        <v>5007</v>
      </c>
      <c r="B7" s="66" t="s">
        <v>1061</v>
      </c>
      <c r="C7" s="67">
        <v>10771</v>
      </c>
      <c r="D7" s="66" t="s">
        <v>2</v>
      </c>
      <c r="E7" s="66" t="s">
        <v>513</v>
      </c>
      <c r="F7" s="66" t="s">
        <v>1060</v>
      </c>
      <c r="G7" s="66" t="s">
        <v>611</v>
      </c>
      <c r="H7" s="66">
        <v>1</v>
      </c>
    </row>
    <row r="8" spans="1:8">
      <c r="A8" s="67">
        <v>5007</v>
      </c>
      <c r="B8" s="66" t="s">
        <v>1058</v>
      </c>
      <c r="C8" s="67">
        <v>10751</v>
      </c>
      <c r="D8" s="66" t="s">
        <v>2</v>
      </c>
      <c r="E8" s="66" t="s">
        <v>513</v>
      </c>
      <c r="F8" s="66" t="s">
        <v>1059</v>
      </c>
      <c r="G8" s="66" t="s">
        <v>611</v>
      </c>
      <c r="H8" s="66">
        <v>1</v>
      </c>
    </row>
    <row r="9" spans="1:8">
      <c r="A9" s="67">
        <v>5007</v>
      </c>
      <c r="B9" s="66" t="s">
        <v>1058</v>
      </c>
      <c r="C9" s="67">
        <v>10752</v>
      </c>
      <c r="D9" s="66" t="s">
        <v>2</v>
      </c>
      <c r="E9" s="66" t="s">
        <v>513</v>
      </c>
      <c r="F9" s="66" t="s">
        <v>1057</v>
      </c>
      <c r="G9" s="66" t="s">
        <v>611</v>
      </c>
      <c r="H9" s="66">
        <v>1</v>
      </c>
    </row>
    <row r="10" spans="1:8">
      <c r="A10" s="67">
        <v>5007</v>
      </c>
      <c r="B10" s="66" t="s">
        <v>1055</v>
      </c>
      <c r="C10" s="67">
        <v>10761</v>
      </c>
      <c r="D10" s="66" t="s">
        <v>2</v>
      </c>
      <c r="E10" s="66" t="s">
        <v>513</v>
      </c>
      <c r="F10" s="66" t="s">
        <v>1056</v>
      </c>
      <c r="G10" s="66" t="s">
        <v>611</v>
      </c>
      <c r="H10" s="66">
        <v>1</v>
      </c>
    </row>
    <row r="11" spans="1:8">
      <c r="A11" s="67">
        <v>5007</v>
      </c>
      <c r="B11" s="66" t="s">
        <v>1055</v>
      </c>
      <c r="C11" s="67">
        <v>10762</v>
      </c>
      <c r="D11" s="66" t="s">
        <v>2</v>
      </c>
      <c r="E11" s="66" t="s">
        <v>513</v>
      </c>
      <c r="F11" s="66" t="s">
        <v>1054</v>
      </c>
      <c r="G11" s="66" t="s">
        <v>611</v>
      </c>
      <c r="H11" s="66">
        <v>1</v>
      </c>
    </row>
    <row r="12" spans="1:8">
      <c r="A12" s="67">
        <v>5004</v>
      </c>
      <c r="B12" s="66" t="s">
        <v>106</v>
      </c>
      <c r="C12" s="67">
        <v>10401</v>
      </c>
      <c r="D12" s="66" t="s">
        <v>2</v>
      </c>
      <c r="E12" s="66" t="s">
        <v>513</v>
      </c>
      <c r="F12" s="66" t="s">
        <v>1119</v>
      </c>
      <c r="G12" s="66" t="s">
        <v>611</v>
      </c>
      <c r="H12" s="66">
        <v>2</v>
      </c>
    </row>
    <row r="13" spans="1:8">
      <c r="A13" s="67">
        <v>5004</v>
      </c>
      <c r="B13" s="66" t="s">
        <v>1118</v>
      </c>
      <c r="C13" s="67">
        <v>6053</v>
      </c>
      <c r="D13" s="66" t="s">
        <v>2</v>
      </c>
      <c r="E13" s="66" t="s">
        <v>513</v>
      </c>
      <c r="F13" s="66" t="s">
        <v>1117</v>
      </c>
      <c r="G13" s="66" t="s">
        <v>847</v>
      </c>
      <c r="H13" s="66">
        <v>2</v>
      </c>
    </row>
    <row r="14" spans="1:8">
      <c r="A14" s="67">
        <v>5004</v>
      </c>
      <c r="B14" s="66" t="s">
        <v>103</v>
      </c>
      <c r="C14" s="67">
        <v>6054</v>
      </c>
      <c r="D14" s="66" t="s">
        <v>2</v>
      </c>
      <c r="E14" s="66" t="s">
        <v>513</v>
      </c>
      <c r="F14" s="66" t="s">
        <v>1116</v>
      </c>
      <c r="G14" s="66" t="s">
        <v>847</v>
      </c>
      <c r="H14" s="66">
        <v>2</v>
      </c>
    </row>
    <row r="15" spans="1:8">
      <c r="A15" s="67">
        <v>5004</v>
      </c>
      <c r="B15" s="66" t="s">
        <v>104</v>
      </c>
      <c r="C15" s="67">
        <v>6055</v>
      </c>
      <c r="D15" s="66" t="s">
        <v>2</v>
      </c>
      <c r="E15" s="66" t="s">
        <v>513</v>
      </c>
      <c r="F15" s="66" t="s">
        <v>1115</v>
      </c>
      <c r="G15" s="66" t="s">
        <v>847</v>
      </c>
      <c r="H15" s="66">
        <v>2</v>
      </c>
    </row>
    <row r="16" spans="1:8">
      <c r="A16" s="67">
        <v>5004</v>
      </c>
      <c r="B16" s="66" t="s">
        <v>105</v>
      </c>
      <c r="C16" s="67">
        <v>6056</v>
      </c>
      <c r="D16" s="66" t="s">
        <v>2</v>
      </c>
      <c r="E16" s="66" t="s">
        <v>513</v>
      </c>
      <c r="F16" s="66" t="s">
        <v>1114</v>
      </c>
      <c r="G16" s="66" t="s">
        <v>847</v>
      </c>
      <c r="H16" s="66">
        <v>2</v>
      </c>
    </row>
    <row r="17" spans="1:8">
      <c r="A17" s="67">
        <v>5004</v>
      </c>
      <c r="B17" s="66" t="s">
        <v>106</v>
      </c>
      <c r="C17" s="67">
        <v>10402</v>
      </c>
      <c r="D17" s="66" t="s">
        <v>2</v>
      </c>
      <c r="E17" s="66" t="s">
        <v>513</v>
      </c>
      <c r="F17" s="66" t="s">
        <v>1113</v>
      </c>
      <c r="G17" s="66" t="s">
        <v>611</v>
      </c>
      <c r="H17" s="66">
        <v>2</v>
      </c>
    </row>
    <row r="18" spans="1:8">
      <c r="A18" s="67">
        <v>5104</v>
      </c>
      <c r="B18" s="66" t="s">
        <v>109</v>
      </c>
      <c r="C18" s="67">
        <v>6058</v>
      </c>
      <c r="D18" s="66" t="s">
        <v>2</v>
      </c>
      <c r="E18" s="66" t="s">
        <v>513</v>
      </c>
      <c r="F18" s="66" t="s">
        <v>877</v>
      </c>
      <c r="G18" s="66" t="s">
        <v>847</v>
      </c>
      <c r="H18" s="66">
        <v>2</v>
      </c>
    </row>
    <row r="19" spans="1:8">
      <c r="A19" s="67">
        <v>5104</v>
      </c>
      <c r="B19" s="66" t="s">
        <v>111</v>
      </c>
      <c r="C19" s="67">
        <v>6060</v>
      </c>
      <c r="D19" s="66" t="s">
        <v>2</v>
      </c>
      <c r="E19" s="66" t="s">
        <v>513</v>
      </c>
      <c r="F19" s="66" t="s">
        <v>876</v>
      </c>
      <c r="G19" s="66" t="s">
        <v>847</v>
      </c>
      <c r="H19" s="66">
        <v>2</v>
      </c>
    </row>
    <row r="20" spans="1:8">
      <c r="A20" s="67">
        <v>5104</v>
      </c>
      <c r="B20" s="66" t="s">
        <v>110</v>
      </c>
      <c r="C20" s="67">
        <v>6059</v>
      </c>
      <c r="D20" s="66" t="s">
        <v>2</v>
      </c>
      <c r="E20" s="66" t="s">
        <v>513</v>
      </c>
      <c r="F20" s="66" t="s">
        <v>875</v>
      </c>
      <c r="G20" s="66" t="s">
        <v>847</v>
      </c>
      <c r="H20" s="66">
        <v>2</v>
      </c>
    </row>
    <row r="21" spans="1:8">
      <c r="A21" s="67">
        <v>5104</v>
      </c>
      <c r="B21" s="66" t="s">
        <v>108</v>
      </c>
      <c r="C21" s="67">
        <v>6057</v>
      </c>
      <c r="D21" s="66" t="s">
        <v>2</v>
      </c>
      <c r="E21" s="66" t="s">
        <v>513</v>
      </c>
      <c r="F21" s="66" t="s">
        <v>874</v>
      </c>
      <c r="G21" s="66" t="s">
        <v>847</v>
      </c>
      <c r="H21" s="66">
        <v>2</v>
      </c>
    </row>
    <row r="22" spans="1:8">
      <c r="A22" s="67">
        <v>9958</v>
      </c>
      <c r="B22" s="66" t="s">
        <v>741</v>
      </c>
      <c r="C22" s="67">
        <v>904</v>
      </c>
      <c r="D22" s="66" t="s">
        <v>2</v>
      </c>
      <c r="E22" s="66" t="s">
        <v>513</v>
      </c>
      <c r="F22" s="66" t="s">
        <v>740</v>
      </c>
      <c r="G22" s="66" t="s">
        <v>511</v>
      </c>
      <c r="H22" s="66">
        <v>3</v>
      </c>
    </row>
    <row r="23" spans="1:8">
      <c r="A23" s="67">
        <v>9958</v>
      </c>
      <c r="B23" s="66" t="s">
        <v>739</v>
      </c>
      <c r="C23" s="67">
        <v>903</v>
      </c>
      <c r="D23" s="66" t="s">
        <v>2</v>
      </c>
      <c r="E23" s="66" t="s">
        <v>513</v>
      </c>
      <c r="F23" s="66" t="s">
        <v>738</v>
      </c>
      <c r="G23" s="66" t="s">
        <v>511</v>
      </c>
      <c r="H23" s="66">
        <v>3</v>
      </c>
    </row>
    <row r="24" spans="1:8">
      <c r="A24" s="67">
        <v>9959</v>
      </c>
      <c r="B24" s="66" t="s">
        <v>737</v>
      </c>
      <c r="C24" s="67">
        <v>504</v>
      </c>
      <c r="D24" s="66" t="s">
        <v>2</v>
      </c>
      <c r="E24" s="66" t="s">
        <v>513</v>
      </c>
      <c r="F24" s="66" t="s">
        <v>736</v>
      </c>
      <c r="G24" s="66" t="s">
        <v>511</v>
      </c>
      <c r="H24" s="66">
        <v>3</v>
      </c>
    </row>
    <row r="25" spans="1:8">
      <c r="A25" s="67">
        <v>9959</v>
      </c>
      <c r="B25" s="66" t="s">
        <v>735</v>
      </c>
      <c r="C25" s="67">
        <v>503</v>
      </c>
      <c r="D25" s="66" t="s">
        <v>2</v>
      </c>
      <c r="E25" s="66" t="s">
        <v>513</v>
      </c>
      <c r="F25" s="66" t="s">
        <v>734</v>
      </c>
      <c r="G25" s="66" t="s">
        <v>511</v>
      </c>
      <c r="H25" s="66">
        <v>3</v>
      </c>
    </row>
    <row r="26" spans="1:8">
      <c r="A26" s="67">
        <v>9960</v>
      </c>
      <c r="B26" s="66" t="s">
        <v>733</v>
      </c>
      <c r="C26" s="67">
        <v>394</v>
      </c>
      <c r="D26" s="66" t="s">
        <v>2</v>
      </c>
      <c r="E26" s="66" t="s">
        <v>513</v>
      </c>
      <c r="F26" s="66" t="s">
        <v>732</v>
      </c>
      <c r="G26" s="66" t="s">
        <v>511</v>
      </c>
      <c r="H26" s="66">
        <v>4</v>
      </c>
    </row>
    <row r="27" spans="1:8">
      <c r="A27" s="67">
        <v>9960</v>
      </c>
      <c r="B27" s="66" t="s">
        <v>731</v>
      </c>
      <c r="C27" s="67">
        <v>395</v>
      </c>
      <c r="D27" s="66" t="s">
        <v>2</v>
      </c>
      <c r="E27" s="66" t="s">
        <v>513</v>
      </c>
      <c r="F27" s="66" t="s">
        <v>730</v>
      </c>
      <c r="G27" s="66" t="s">
        <v>511</v>
      </c>
      <c r="H27" s="66">
        <v>4</v>
      </c>
    </row>
    <row r="28" spans="1:8">
      <c r="A28" s="67">
        <v>9960</v>
      </c>
      <c r="B28" s="66" t="s">
        <v>729</v>
      </c>
      <c r="C28" s="67">
        <v>168</v>
      </c>
      <c r="D28" s="66" t="s">
        <v>2</v>
      </c>
      <c r="E28" s="66" t="s">
        <v>513</v>
      </c>
      <c r="F28" s="66" t="s">
        <v>728</v>
      </c>
      <c r="G28" s="66" t="s">
        <v>511</v>
      </c>
      <c r="H28" s="66">
        <v>4</v>
      </c>
    </row>
    <row r="29" spans="1:8">
      <c r="A29" s="67">
        <v>9960</v>
      </c>
      <c r="B29" s="66" t="s">
        <v>727</v>
      </c>
      <c r="C29" s="67">
        <v>169</v>
      </c>
      <c r="D29" s="66" t="s">
        <v>2</v>
      </c>
      <c r="E29" s="66" t="s">
        <v>513</v>
      </c>
      <c r="F29" s="66" t="s">
        <v>726</v>
      </c>
      <c r="G29" s="66" t="s">
        <v>511</v>
      </c>
      <c r="H29" s="66">
        <v>4</v>
      </c>
    </row>
    <row r="30" spans="1:8">
      <c r="A30" s="67">
        <v>4401</v>
      </c>
      <c r="B30" s="66" t="s">
        <v>1179</v>
      </c>
      <c r="C30" s="67">
        <v>3401</v>
      </c>
      <c r="D30" s="66" t="s">
        <v>1178</v>
      </c>
      <c r="E30" s="66" t="s">
        <v>513</v>
      </c>
      <c r="F30" s="66" t="s">
        <v>1177</v>
      </c>
      <c r="G30" s="66" t="s">
        <v>511</v>
      </c>
      <c r="H30" s="66">
        <v>5</v>
      </c>
    </row>
    <row r="31" spans="1:8">
      <c r="A31" s="67">
        <v>4401</v>
      </c>
      <c r="B31" s="66" t="s">
        <v>1176</v>
      </c>
      <c r="C31" s="67">
        <v>296</v>
      </c>
      <c r="D31" s="66" t="s">
        <v>1175</v>
      </c>
      <c r="E31" s="66" t="s">
        <v>513</v>
      </c>
      <c r="F31" s="66" t="s">
        <v>1174</v>
      </c>
      <c r="G31" s="66" t="s">
        <v>511</v>
      </c>
      <c r="H31" s="66">
        <v>5</v>
      </c>
    </row>
    <row r="32" spans="1:8">
      <c r="A32" s="67">
        <v>4410</v>
      </c>
      <c r="B32" s="66" t="s">
        <v>1173</v>
      </c>
      <c r="C32" s="67">
        <v>401</v>
      </c>
      <c r="D32" s="66" t="s">
        <v>2</v>
      </c>
      <c r="E32" s="66" t="s">
        <v>513</v>
      </c>
      <c r="F32" s="66" t="s">
        <v>1172</v>
      </c>
      <c r="G32" s="66" t="s">
        <v>511</v>
      </c>
      <c r="H32" s="66">
        <v>5</v>
      </c>
    </row>
    <row r="33" spans="1:8">
      <c r="A33" s="67">
        <v>4410</v>
      </c>
      <c r="B33" s="66" t="s">
        <v>1171</v>
      </c>
      <c r="C33" s="67">
        <v>2296</v>
      </c>
      <c r="D33" s="66" t="s">
        <v>2</v>
      </c>
      <c r="E33" s="66" t="s">
        <v>513</v>
      </c>
      <c r="F33" s="66" t="s">
        <v>1170</v>
      </c>
      <c r="G33" s="66" t="s">
        <v>511</v>
      </c>
      <c r="H33" s="66">
        <v>5</v>
      </c>
    </row>
    <row r="34" spans="1:8">
      <c r="A34" s="67">
        <v>9944</v>
      </c>
      <c r="B34" s="66" t="s">
        <v>748</v>
      </c>
      <c r="C34" s="67">
        <v>3411</v>
      </c>
      <c r="D34" s="66" t="s">
        <v>2</v>
      </c>
      <c r="E34" s="66" t="s">
        <v>513</v>
      </c>
      <c r="F34" s="66" t="s">
        <v>747</v>
      </c>
      <c r="G34" s="66" t="s">
        <v>511</v>
      </c>
      <c r="H34" s="66">
        <v>5</v>
      </c>
    </row>
    <row r="35" spans="1:8">
      <c r="A35" s="67">
        <v>9944</v>
      </c>
      <c r="B35" s="66" t="s">
        <v>746</v>
      </c>
      <c r="C35" s="67">
        <v>295</v>
      </c>
      <c r="D35" s="66" t="s">
        <v>2</v>
      </c>
      <c r="E35" s="66" t="s">
        <v>513</v>
      </c>
      <c r="F35" s="66" t="s">
        <v>745</v>
      </c>
      <c r="G35" s="66" t="s">
        <v>511</v>
      </c>
      <c r="H35" s="66">
        <v>5</v>
      </c>
    </row>
    <row r="36" spans="1:8">
      <c r="A36" s="67">
        <v>9946</v>
      </c>
      <c r="B36" s="66" t="s">
        <v>743</v>
      </c>
      <c r="C36" s="67">
        <v>411</v>
      </c>
      <c r="D36" s="66" t="s">
        <v>2</v>
      </c>
      <c r="E36" s="66" t="s">
        <v>513</v>
      </c>
      <c r="F36" s="66" t="s">
        <v>744</v>
      </c>
      <c r="G36" s="66" t="s">
        <v>511</v>
      </c>
      <c r="H36" s="66">
        <v>5</v>
      </c>
    </row>
    <row r="37" spans="1:8">
      <c r="A37" s="67">
        <v>9946</v>
      </c>
      <c r="B37" s="66" t="s">
        <v>743</v>
      </c>
      <c r="C37" s="67">
        <v>2295</v>
      </c>
      <c r="D37" s="66" t="s">
        <v>2</v>
      </c>
      <c r="E37" s="66" t="s">
        <v>513</v>
      </c>
      <c r="F37" s="66" t="s">
        <v>742</v>
      </c>
      <c r="G37" s="66" t="s">
        <v>511</v>
      </c>
      <c r="H37" s="66">
        <v>5</v>
      </c>
    </row>
    <row r="38" spans="1:8">
      <c r="A38" s="67">
        <v>9975</v>
      </c>
      <c r="B38" s="66" t="s">
        <v>587</v>
      </c>
      <c r="C38" s="67">
        <v>10151</v>
      </c>
      <c r="D38" s="66" t="s">
        <v>2</v>
      </c>
      <c r="E38" s="66" t="s">
        <v>513</v>
      </c>
      <c r="F38" s="66" t="s">
        <v>586</v>
      </c>
      <c r="G38" s="66" t="s">
        <v>517</v>
      </c>
      <c r="H38" s="66">
        <v>6</v>
      </c>
    </row>
    <row r="39" spans="1:8">
      <c r="A39" s="67">
        <v>9975</v>
      </c>
      <c r="B39" s="66" t="s">
        <v>585</v>
      </c>
      <c r="C39" s="67">
        <v>10152</v>
      </c>
      <c r="D39" s="66" t="s">
        <v>2</v>
      </c>
      <c r="E39" s="66" t="s">
        <v>513</v>
      </c>
      <c r="F39" s="66" t="s">
        <v>584</v>
      </c>
      <c r="G39" s="66" t="s">
        <v>517</v>
      </c>
      <c r="H39" s="66">
        <v>6</v>
      </c>
    </row>
    <row r="40" spans="1:8">
      <c r="A40" s="67">
        <v>9975</v>
      </c>
      <c r="B40" s="66" t="s">
        <v>583</v>
      </c>
      <c r="C40" s="67">
        <v>10153</v>
      </c>
      <c r="D40" s="66" t="s">
        <v>2</v>
      </c>
      <c r="E40" s="66" t="s">
        <v>513</v>
      </c>
      <c r="F40" s="66" t="s">
        <v>582</v>
      </c>
      <c r="G40" s="66" t="s">
        <v>517</v>
      </c>
      <c r="H40" s="66">
        <v>6</v>
      </c>
    </row>
    <row r="41" spans="1:8">
      <c r="A41" s="67">
        <v>9975</v>
      </c>
      <c r="B41" s="66" t="s">
        <v>581</v>
      </c>
      <c r="C41" s="67">
        <v>10154</v>
      </c>
      <c r="D41" s="66" t="s">
        <v>2</v>
      </c>
      <c r="E41" s="66" t="s">
        <v>513</v>
      </c>
      <c r="F41" s="66" t="s">
        <v>580</v>
      </c>
      <c r="G41" s="66" t="s">
        <v>517</v>
      </c>
      <c r="H41" s="66">
        <v>6</v>
      </c>
    </row>
    <row r="42" spans="1:8">
      <c r="A42" s="67">
        <v>9975</v>
      </c>
      <c r="B42" s="66" t="s">
        <v>579</v>
      </c>
      <c r="C42" s="67">
        <v>10155</v>
      </c>
      <c r="D42" s="66" t="s">
        <v>2</v>
      </c>
      <c r="E42" s="66" t="s">
        <v>513</v>
      </c>
      <c r="F42" s="66" t="s">
        <v>578</v>
      </c>
      <c r="G42" s="66" t="s">
        <v>517</v>
      </c>
      <c r="H42" s="66">
        <v>6</v>
      </c>
    </row>
    <row r="43" spans="1:8">
      <c r="A43" s="67">
        <v>9975</v>
      </c>
      <c r="B43" s="66" t="s">
        <v>577</v>
      </c>
      <c r="C43" s="67">
        <v>10156</v>
      </c>
      <c r="D43" s="66" t="s">
        <v>2</v>
      </c>
      <c r="E43" s="66" t="s">
        <v>513</v>
      </c>
      <c r="F43" s="66" t="s">
        <v>576</v>
      </c>
      <c r="G43" s="66" t="s">
        <v>517</v>
      </c>
      <c r="H43" s="66">
        <v>6</v>
      </c>
    </row>
    <row r="44" spans="1:8">
      <c r="A44" s="67">
        <v>9975</v>
      </c>
      <c r="B44" s="66" t="s">
        <v>575</v>
      </c>
      <c r="C44" s="67">
        <v>10157</v>
      </c>
      <c r="D44" s="66" t="s">
        <v>2</v>
      </c>
      <c r="E44" s="66" t="s">
        <v>513</v>
      </c>
      <c r="F44" s="66" t="s">
        <v>574</v>
      </c>
      <c r="G44" s="66" t="s">
        <v>517</v>
      </c>
      <c r="H44" s="66">
        <v>7</v>
      </c>
    </row>
    <row r="45" spans="1:8">
      <c r="A45" s="67">
        <v>9975</v>
      </c>
      <c r="B45" s="66" t="s">
        <v>573</v>
      </c>
      <c r="C45" s="67">
        <v>10158</v>
      </c>
      <c r="D45" s="66" t="s">
        <v>2</v>
      </c>
      <c r="E45" s="66" t="s">
        <v>513</v>
      </c>
      <c r="F45" s="66" t="s">
        <v>572</v>
      </c>
      <c r="G45" s="66" t="s">
        <v>517</v>
      </c>
      <c r="H45" s="66">
        <v>7</v>
      </c>
    </row>
    <row r="46" spans="1:8">
      <c r="A46" s="67">
        <v>9975</v>
      </c>
      <c r="B46" s="66" t="s">
        <v>571</v>
      </c>
      <c r="C46" s="67">
        <v>10159</v>
      </c>
      <c r="D46" s="66" t="s">
        <v>2</v>
      </c>
      <c r="E46" s="66" t="s">
        <v>513</v>
      </c>
      <c r="F46" s="66" t="s">
        <v>570</v>
      </c>
      <c r="G46" s="66" t="s">
        <v>517</v>
      </c>
      <c r="H46" s="66">
        <v>7</v>
      </c>
    </row>
    <row r="47" spans="1:8">
      <c r="A47" s="67">
        <v>9975</v>
      </c>
      <c r="B47" s="66" t="s">
        <v>569</v>
      </c>
      <c r="C47" s="67">
        <v>10160</v>
      </c>
      <c r="D47" s="66" t="s">
        <v>2</v>
      </c>
      <c r="E47" s="66" t="s">
        <v>513</v>
      </c>
      <c r="F47" s="66" t="s">
        <v>568</v>
      </c>
      <c r="G47" s="66" t="s">
        <v>517</v>
      </c>
      <c r="H47" s="66">
        <v>7</v>
      </c>
    </row>
    <row r="48" spans="1:8">
      <c r="A48" s="67">
        <v>9975</v>
      </c>
      <c r="B48" s="66" t="s">
        <v>567</v>
      </c>
      <c r="C48" s="67">
        <v>10161</v>
      </c>
      <c r="D48" s="66" t="s">
        <v>2</v>
      </c>
      <c r="E48" s="66" t="s">
        <v>513</v>
      </c>
      <c r="F48" s="66" t="s">
        <v>566</v>
      </c>
      <c r="G48" s="66" t="s">
        <v>517</v>
      </c>
      <c r="H48" s="66">
        <v>7</v>
      </c>
    </row>
    <row r="49" spans="1:8">
      <c r="A49" s="67">
        <v>9975</v>
      </c>
      <c r="B49" s="66" t="s">
        <v>565</v>
      </c>
      <c r="C49" s="67">
        <v>10162</v>
      </c>
      <c r="D49" s="66" t="s">
        <v>2</v>
      </c>
      <c r="E49" s="66" t="s">
        <v>513</v>
      </c>
      <c r="F49" s="66" t="s">
        <v>564</v>
      </c>
      <c r="G49" s="66" t="s">
        <v>517</v>
      </c>
      <c r="H49" s="66">
        <v>7</v>
      </c>
    </row>
    <row r="50" spans="1:8">
      <c r="A50" s="67">
        <v>9975</v>
      </c>
      <c r="B50" s="66" t="s">
        <v>563</v>
      </c>
      <c r="C50" s="67">
        <v>10163</v>
      </c>
      <c r="D50" s="66" t="s">
        <v>2</v>
      </c>
      <c r="E50" s="66" t="s">
        <v>513</v>
      </c>
      <c r="F50" s="66" t="s">
        <v>562</v>
      </c>
      <c r="G50" s="66" t="s">
        <v>517</v>
      </c>
      <c r="H50" s="66">
        <v>8</v>
      </c>
    </row>
    <row r="51" spans="1:8">
      <c r="A51" s="67">
        <v>9975</v>
      </c>
      <c r="B51" s="66" t="s">
        <v>561</v>
      </c>
      <c r="C51" s="67">
        <v>10164</v>
      </c>
      <c r="D51" s="66" t="s">
        <v>2</v>
      </c>
      <c r="E51" s="66" t="s">
        <v>513</v>
      </c>
      <c r="F51" s="66" t="s">
        <v>560</v>
      </c>
      <c r="G51" s="66" t="s">
        <v>517</v>
      </c>
      <c r="H51" s="66">
        <v>8</v>
      </c>
    </row>
    <row r="52" spans="1:8">
      <c r="A52" s="67">
        <v>9975</v>
      </c>
      <c r="B52" s="66" t="s">
        <v>559</v>
      </c>
      <c r="C52" s="67">
        <v>10165</v>
      </c>
      <c r="D52" s="66" t="s">
        <v>2</v>
      </c>
      <c r="E52" s="66" t="s">
        <v>513</v>
      </c>
      <c r="F52" s="66" t="s">
        <v>558</v>
      </c>
      <c r="G52" s="66" t="s">
        <v>517</v>
      </c>
      <c r="H52" s="66">
        <v>8</v>
      </c>
    </row>
    <row r="53" spans="1:8">
      <c r="A53" s="67">
        <v>9975</v>
      </c>
      <c r="B53" s="66" t="s">
        <v>557</v>
      </c>
      <c r="C53" s="67">
        <v>10166</v>
      </c>
      <c r="D53" s="66" t="s">
        <v>2</v>
      </c>
      <c r="E53" s="66" t="s">
        <v>513</v>
      </c>
      <c r="F53" s="66" t="s">
        <v>556</v>
      </c>
      <c r="G53" s="66" t="s">
        <v>517</v>
      </c>
      <c r="H53" s="66">
        <v>8</v>
      </c>
    </row>
    <row r="54" spans="1:8">
      <c r="A54" s="67">
        <v>9975</v>
      </c>
      <c r="B54" s="66" t="s">
        <v>555</v>
      </c>
      <c r="C54" s="67">
        <v>10167</v>
      </c>
      <c r="D54" s="66" t="s">
        <v>2</v>
      </c>
      <c r="E54" s="66" t="s">
        <v>513</v>
      </c>
      <c r="F54" s="66" t="s">
        <v>554</v>
      </c>
      <c r="G54" s="66" t="s">
        <v>517</v>
      </c>
      <c r="H54" s="66">
        <v>8</v>
      </c>
    </row>
    <row r="55" spans="1:8">
      <c r="A55" s="67">
        <v>9975</v>
      </c>
      <c r="B55" s="66" t="s">
        <v>553</v>
      </c>
      <c r="C55" s="67">
        <v>10168</v>
      </c>
      <c r="D55" s="66" t="s">
        <v>2</v>
      </c>
      <c r="E55" s="66" t="s">
        <v>513</v>
      </c>
      <c r="F55" s="66" t="s">
        <v>552</v>
      </c>
      <c r="G55" s="66" t="s">
        <v>517</v>
      </c>
      <c r="H55" s="66">
        <v>8</v>
      </c>
    </row>
    <row r="56" spans="1:8">
      <c r="A56" s="67">
        <v>9975</v>
      </c>
      <c r="B56" s="66" t="s">
        <v>591</v>
      </c>
      <c r="C56" s="67">
        <v>10169</v>
      </c>
      <c r="D56" s="66" t="s">
        <v>2</v>
      </c>
      <c r="E56" s="66" t="s">
        <v>513</v>
      </c>
      <c r="F56" s="66" t="s">
        <v>590</v>
      </c>
      <c r="G56" s="66" t="s">
        <v>517</v>
      </c>
      <c r="H56" s="66">
        <v>9</v>
      </c>
    </row>
    <row r="57" spans="1:8">
      <c r="A57" s="67">
        <v>9975</v>
      </c>
      <c r="B57" s="66" t="s">
        <v>551</v>
      </c>
      <c r="C57" s="67">
        <v>10170</v>
      </c>
      <c r="D57" s="66" t="s">
        <v>2</v>
      </c>
      <c r="E57" s="66" t="s">
        <v>513</v>
      </c>
      <c r="F57" s="66" t="s">
        <v>550</v>
      </c>
      <c r="G57" s="66" t="s">
        <v>517</v>
      </c>
      <c r="H57" s="66">
        <v>9</v>
      </c>
    </row>
    <row r="58" spans="1:8">
      <c r="A58" s="67">
        <v>9975</v>
      </c>
      <c r="B58" s="66" t="s">
        <v>549</v>
      </c>
      <c r="C58" s="67">
        <v>10171</v>
      </c>
      <c r="D58" s="66" t="s">
        <v>2</v>
      </c>
      <c r="E58" s="66" t="s">
        <v>513</v>
      </c>
      <c r="F58" s="66" t="s">
        <v>548</v>
      </c>
      <c r="G58" s="66" t="s">
        <v>517</v>
      </c>
      <c r="H58" s="66">
        <v>9</v>
      </c>
    </row>
    <row r="59" spans="1:8">
      <c r="A59" s="67">
        <v>9975</v>
      </c>
      <c r="B59" s="66" t="s">
        <v>547</v>
      </c>
      <c r="C59" s="67">
        <v>10172</v>
      </c>
      <c r="D59" s="66" t="s">
        <v>2</v>
      </c>
      <c r="E59" s="66" t="s">
        <v>513</v>
      </c>
      <c r="F59" s="66" t="s">
        <v>546</v>
      </c>
      <c r="G59" s="66" t="s">
        <v>517</v>
      </c>
      <c r="H59" s="66">
        <v>9</v>
      </c>
    </row>
    <row r="60" spans="1:8">
      <c r="A60" s="67">
        <v>9975</v>
      </c>
      <c r="B60" s="66" t="s">
        <v>545</v>
      </c>
      <c r="C60" s="67">
        <v>10173</v>
      </c>
      <c r="D60" s="66" t="s">
        <v>2</v>
      </c>
      <c r="E60" s="66" t="s">
        <v>513</v>
      </c>
      <c r="F60" s="66" t="s">
        <v>544</v>
      </c>
      <c r="G60" s="66" t="s">
        <v>517</v>
      </c>
      <c r="H60" s="66">
        <v>9</v>
      </c>
    </row>
    <row r="61" spans="1:8">
      <c r="A61" s="67">
        <v>9975</v>
      </c>
      <c r="B61" s="66" t="s">
        <v>543</v>
      </c>
      <c r="C61" s="67">
        <v>10174</v>
      </c>
      <c r="D61" s="66" t="s">
        <v>2</v>
      </c>
      <c r="E61" s="66" t="s">
        <v>513</v>
      </c>
      <c r="F61" s="66" t="s">
        <v>542</v>
      </c>
      <c r="G61" s="66" t="s">
        <v>517</v>
      </c>
      <c r="H61" s="66">
        <v>9</v>
      </c>
    </row>
    <row r="62" spans="1:8">
      <c r="A62" s="67">
        <v>9975</v>
      </c>
      <c r="B62" s="66" t="s">
        <v>685</v>
      </c>
      <c r="C62" s="67">
        <v>10177</v>
      </c>
      <c r="D62" s="66" t="s">
        <v>2</v>
      </c>
      <c r="E62" s="66" t="s">
        <v>513</v>
      </c>
      <c r="F62" s="66" t="s">
        <v>684</v>
      </c>
      <c r="G62" s="66" t="s">
        <v>517</v>
      </c>
      <c r="H62" s="66">
        <v>10</v>
      </c>
    </row>
    <row r="63" spans="1:8">
      <c r="A63" s="67">
        <v>9975</v>
      </c>
      <c r="B63" s="66" t="s">
        <v>683</v>
      </c>
      <c r="C63" s="67">
        <v>10178</v>
      </c>
      <c r="D63" s="66" t="s">
        <v>2</v>
      </c>
      <c r="E63" s="66" t="s">
        <v>513</v>
      </c>
      <c r="F63" s="66" t="s">
        <v>682</v>
      </c>
      <c r="G63" s="66" t="s">
        <v>517</v>
      </c>
      <c r="H63" s="66">
        <v>10</v>
      </c>
    </row>
    <row r="64" spans="1:8">
      <c r="A64" s="67">
        <v>9975</v>
      </c>
      <c r="B64" s="66" t="s">
        <v>681</v>
      </c>
      <c r="C64" s="67">
        <v>10179</v>
      </c>
      <c r="D64" s="66" t="s">
        <v>2</v>
      </c>
      <c r="E64" s="66" t="s">
        <v>513</v>
      </c>
      <c r="F64" s="66" t="s">
        <v>680</v>
      </c>
      <c r="G64" s="66" t="s">
        <v>517</v>
      </c>
      <c r="H64" s="66">
        <v>10</v>
      </c>
    </row>
    <row r="65" spans="1:8">
      <c r="A65" s="67">
        <v>9975</v>
      </c>
      <c r="B65" s="66" t="s">
        <v>679</v>
      </c>
      <c r="C65" s="67">
        <v>10180</v>
      </c>
      <c r="D65" s="66" t="s">
        <v>2</v>
      </c>
      <c r="E65" s="66" t="s">
        <v>513</v>
      </c>
      <c r="F65" s="66" t="s">
        <v>678</v>
      </c>
      <c r="G65" s="66" t="s">
        <v>517</v>
      </c>
      <c r="H65" s="66">
        <v>10</v>
      </c>
    </row>
    <row r="66" spans="1:8">
      <c r="A66" s="67">
        <v>9975</v>
      </c>
      <c r="B66" s="66" t="s">
        <v>541</v>
      </c>
      <c r="C66" s="67">
        <v>10175</v>
      </c>
      <c r="D66" s="66" t="s">
        <v>2</v>
      </c>
      <c r="E66" s="66" t="s">
        <v>513</v>
      </c>
      <c r="F66" s="66" t="s">
        <v>540</v>
      </c>
      <c r="G66" s="66" t="s">
        <v>517</v>
      </c>
      <c r="H66" s="66">
        <v>10</v>
      </c>
    </row>
    <row r="67" spans="1:8">
      <c r="A67" s="67">
        <v>9975</v>
      </c>
      <c r="B67" s="66" t="s">
        <v>539</v>
      </c>
      <c r="C67" s="67">
        <v>10176</v>
      </c>
      <c r="D67" s="66" t="s">
        <v>2</v>
      </c>
      <c r="E67" s="66" t="s">
        <v>513</v>
      </c>
      <c r="F67" s="66" t="s">
        <v>538</v>
      </c>
      <c r="G67" s="66" t="s">
        <v>517</v>
      </c>
      <c r="H67" s="66">
        <v>10</v>
      </c>
    </row>
    <row r="68" spans="1:8">
      <c r="A68" s="67">
        <v>9975</v>
      </c>
      <c r="B68" s="66" t="s">
        <v>677</v>
      </c>
      <c r="C68" s="67">
        <v>10181</v>
      </c>
      <c r="D68" s="66" t="s">
        <v>2</v>
      </c>
      <c r="E68" s="66" t="s">
        <v>513</v>
      </c>
      <c r="F68" s="66" t="s">
        <v>676</v>
      </c>
      <c r="G68" s="66" t="s">
        <v>517</v>
      </c>
      <c r="H68" s="66">
        <v>11</v>
      </c>
    </row>
    <row r="69" spans="1:8">
      <c r="A69" s="67">
        <v>9975</v>
      </c>
      <c r="B69" s="66" t="s">
        <v>675</v>
      </c>
      <c r="C69" s="67">
        <v>10182</v>
      </c>
      <c r="D69" s="66" t="s">
        <v>2</v>
      </c>
      <c r="E69" s="66" t="s">
        <v>513</v>
      </c>
      <c r="F69" s="66" t="s">
        <v>674</v>
      </c>
      <c r="G69" s="66" t="s">
        <v>517</v>
      </c>
      <c r="H69" s="66">
        <v>11</v>
      </c>
    </row>
    <row r="70" spans="1:8">
      <c r="A70" s="67">
        <v>9975</v>
      </c>
      <c r="B70" s="66" t="s">
        <v>673</v>
      </c>
      <c r="C70" s="67">
        <v>10183</v>
      </c>
      <c r="D70" s="66" t="s">
        <v>2</v>
      </c>
      <c r="E70" s="66" t="s">
        <v>513</v>
      </c>
      <c r="F70" s="66" t="s">
        <v>672</v>
      </c>
      <c r="G70" s="66" t="s">
        <v>517</v>
      </c>
      <c r="H70" s="66">
        <v>11</v>
      </c>
    </row>
    <row r="71" spans="1:8">
      <c r="A71" s="67">
        <v>9975</v>
      </c>
      <c r="B71" s="66" t="s">
        <v>671</v>
      </c>
      <c r="C71" s="67">
        <v>10184</v>
      </c>
      <c r="D71" s="66" t="s">
        <v>2</v>
      </c>
      <c r="E71" s="66" t="s">
        <v>513</v>
      </c>
      <c r="F71" s="66" t="s">
        <v>670</v>
      </c>
      <c r="G71" s="66" t="s">
        <v>517</v>
      </c>
      <c r="H71" s="66">
        <v>11</v>
      </c>
    </row>
    <row r="72" spans="1:8">
      <c r="A72" s="67">
        <v>9975</v>
      </c>
      <c r="B72" s="66" t="s">
        <v>669</v>
      </c>
      <c r="C72" s="67">
        <v>10185</v>
      </c>
      <c r="D72" s="66" t="s">
        <v>2</v>
      </c>
      <c r="E72" s="66" t="s">
        <v>513</v>
      </c>
      <c r="F72" s="66" t="s">
        <v>668</v>
      </c>
      <c r="G72" s="66" t="s">
        <v>517</v>
      </c>
      <c r="H72" s="66">
        <v>11</v>
      </c>
    </row>
    <row r="73" spans="1:8">
      <c r="A73" s="67">
        <v>9975</v>
      </c>
      <c r="B73" s="66" t="s">
        <v>667</v>
      </c>
      <c r="C73" s="67">
        <v>10186</v>
      </c>
      <c r="D73" s="66" t="s">
        <v>2</v>
      </c>
      <c r="E73" s="66" t="s">
        <v>513</v>
      </c>
      <c r="F73" s="66" t="s">
        <v>666</v>
      </c>
      <c r="G73" s="66" t="s">
        <v>517</v>
      </c>
      <c r="H73" s="66">
        <v>11</v>
      </c>
    </row>
    <row r="74" spans="1:8">
      <c r="A74" s="67">
        <v>5003</v>
      </c>
      <c r="B74" s="66" t="s">
        <v>1141</v>
      </c>
      <c r="C74" s="67">
        <v>10315</v>
      </c>
      <c r="D74" s="66" t="s">
        <v>2</v>
      </c>
      <c r="E74" s="66" t="s">
        <v>513</v>
      </c>
      <c r="F74" s="66" t="s">
        <v>1140</v>
      </c>
      <c r="G74" s="66" t="s">
        <v>611</v>
      </c>
      <c r="H74" s="66">
        <v>12</v>
      </c>
    </row>
    <row r="75" spans="1:8">
      <c r="A75" s="67">
        <v>5003</v>
      </c>
      <c r="B75" s="66" t="s">
        <v>1139</v>
      </c>
      <c r="C75" s="67">
        <v>10316</v>
      </c>
      <c r="D75" s="66" t="s">
        <v>2</v>
      </c>
      <c r="E75" s="66" t="s">
        <v>513</v>
      </c>
      <c r="F75" s="66" t="s">
        <v>1138</v>
      </c>
      <c r="G75" s="66" t="s">
        <v>611</v>
      </c>
      <c r="H75" s="66">
        <v>12</v>
      </c>
    </row>
    <row r="76" spans="1:8">
      <c r="A76" s="67">
        <v>5003</v>
      </c>
      <c r="B76" s="66" t="s">
        <v>1133</v>
      </c>
      <c r="C76" s="67">
        <v>10317</v>
      </c>
      <c r="D76" s="66" t="s">
        <v>2</v>
      </c>
      <c r="E76" s="66" t="s">
        <v>513</v>
      </c>
      <c r="F76" s="66" t="s">
        <v>1134</v>
      </c>
      <c r="G76" s="66" t="s">
        <v>611</v>
      </c>
      <c r="H76" s="66">
        <v>12</v>
      </c>
    </row>
    <row r="77" spans="1:8">
      <c r="A77" s="67">
        <v>5003</v>
      </c>
      <c r="B77" s="66" t="s">
        <v>1133</v>
      </c>
      <c r="C77" s="67">
        <v>10318</v>
      </c>
      <c r="D77" s="66" t="s">
        <v>2</v>
      </c>
      <c r="E77" s="66" t="s">
        <v>513</v>
      </c>
      <c r="F77" s="66" t="s">
        <v>1132</v>
      </c>
      <c r="G77" s="66" t="s">
        <v>611</v>
      </c>
      <c r="H77" s="66">
        <v>12</v>
      </c>
    </row>
    <row r="78" spans="1:8">
      <c r="A78" s="67">
        <v>4420</v>
      </c>
      <c r="B78" s="66" t="s">
        <v>129</v>
      </c>
      <c r="C78" s="67">
        <v>6021</v>
      </c>
      <c r="D78" s="66" t="s">
        <v>2</v>
      </c>
      <c r="E78" s="66" t="s">
        <v>513</v>
      </c>
      <c r="F78" s="66" t="s">
        <v>1169</v>
      </c>
      <c r="G78" s="66" t="s">
        <v>847</v>
      </c>
      <c r="H78" s="66">
        <v>13</v>
      </c>
    </row>
    <row r="79" spans="1:8">
      <c r="A79" s="67">
        <v>4420</v>
      </c>
      <c r="B79" s="66" t="s">
        <v>130</v>
      </c>
      <c r="C79" s="67">
        <v>6022</v>
      </c>
      <c r="D79" s="66" t="s">
        <v>2</v>
      </c>
      <c r="E79" s="66" t="s">
        <v>513</v>
      </c>
      <c r="F79" s="66" t="s">
        <v>1168</v>
      </c>
      <c r="G79" s="66" t="s">
        <v>847</v>
      </c>
      <c r="H79" s="66">
        <v>13</v>
      </c>
    </row>
    <row r="80" spans="1:8">
      <c r="A80" s="67">
        <v>5708</v>
      </c>
      <c r="B80" s="66" t="s">
        <v>803</v>
      </c>
      <c r="C80" s="67">
        <v>10570</v>
      </c>
      <c r="D80" s="66" t="s">
        <v>2</v>
      </c>
      <c r="E80" s="66" t="s">
        <v>513</v>
      </c>
      <c r="F80" s="66" t="s">
        <v>806</v>
      </c>
      <c r="G80" s="66" t="s">
        <v>611</v>
      </c>
      <c r="H80" s="66">
        <v>14</v>
      </c>
    </row>
    <row r="81" spans="1:8">
      <c r="A81" s="67">
        <v>5708</v>
      </c>
      <c r="B81" s="66" t="s">
        <v>803</v>
      </c>
      <c r="C81" s="67">
        <v>10571</v>
      </c>
      <c r="D81" s="66" t="s">
        <v>2</v>
      </c>
      <c r="E81" s="66" t="s">
        <v>513</v>
      </c>
      <c r="F81" s="66" t="s">
        <v>805</v>
      </c>
      <c r="G81" s="66" t="s">
        <v>611</v>
      </c>
      <c r="H81" s="66">
        <v>14</v>
      </c>
    </row>
    <row r="82" spans="1:8">
      <c r="A82" s="67">
        <v>9968</v>
      </c>
      <c r="B82" s="66" t="s">
        <v>708</v>
      </c>
      <c r="C82" s="67">
        <v>10591</v>
      </c>
      <c r="D82" s="66" t="s">
        <v>2</v>
      </c>
      <c r="E82" s="66" t="s">
        <v>513</v>
      </c>
      <c r="F82" s="66" t="s">
        <v>711</v>
      </c>
      <c r="G82" s="66" t="s">
        <v>611</v>
      </c>
      <c r="H82" s="66">
        <v>14</v>
      </c>
    </row>
    <row r="83" spans="1:8">
      <c r="A83" s="67">
        <v>9968</v>
      </c>
      <c r="B83" s="66" t="s">
        <v>708</v>
      </c>
      <c r="C83" s="67">
        <v>10590</v>
      </c>
      <c r="D83" s="66" t="s">
        <v>2</v>
      </c>
      <c r="E83" s="66" t="s">
        <v>513</v>
      </c>
      <c r="F83" s="66" t="s">
        <v>709</v>
      </c>
      <c r="G83" s="66" t="s">
        <v>611</v>
      </c>
      <c r="H83" s="66">
        <v>14</v>
      </c>
    </row>
    <row r="84" spans="1:8">
      <c r="A84" s="67">
        <v>5710</v>
      </c>
      <c r="B84" s="66" t="s">
        <v>793</v>
      </c>
      <c r="C84" s="67">
        <v>10574</v>
      </c>
      <c r="D84" s="66" t="s">
        <v>2</v>
      </c>
      <c r="E84" s="66" t="s">
        <v>513</v>
      </c>
      <c r="F84" s="66" t="s">
        <v>796</v>
      </c>
      <c r="G84" s="66" t="s">
        <v>611</v>
      </c>
      <c r="H84" s="66">
        <v>15</v>
      </c>
    </row>
    <row r="85" spans="1:8">
      <c r="A85" s="67">
        <v>5710</v>
      </c>
      <c r="B85" s="66" t="s">
        <v>793</v>
      </c>
      <c r="C85" s="67">
        <v>10575</v>
      </c>
      <c r="D85" s="66" t="s">
        <v>2</v>
      </c>
      <c r="E85" s="66" t="s">
        <v>513</v>
      </c>
      <c r="F85" s="66" t="s">
        <v>794</v>
      </c>
      <c r="G85" s="66" t="s">
        <v>611</v>
      </c>
      <c r="H85" s="66">
        <v>15</v>
      </c>
    </row>
    <row r="86" spans="1:8">
      <c r="A86" s="67">
        <v>9970</v>
      </c>
      <c r="B86" s="66" t="s">
        <v>698</v>
      </c>
      <c r="C86" s="67">
        <v>10594</v>
      </c>
      <c r="D86" s="66" t="s">
        <v>2</v>
      </c>
      <c r="E86" s="66" t="s">
        <v>513</v>
      </c>
      <c r="F86" s="66" t="s">
        <v>701</v>
      </c>
      <c r="G86" s="66" t="s">
        <v>611</v>
      </c>
      <c r="H86" s="66">
        <v>15</v>
      </c>
    </row>
    <row r="87" spans="1:8">
      <c r="A87" s="67">
        <v>9970</v>
      </c>
      <c r="B87" s="66" t="s">
        <v>698</v>
      </c>
      <c r="C87" s="67">
        <v>10595</v>
      </c>
      <c r="D87" s="66" t="s">
        <v>2</v>
      </c>
      <c r="E87" s="66" t="s">
        <v>513</v>
      </c>
      <c r="F87" s="66" t="s">
        <v>699</v>
      </c>
      <c r="G87" s="66" t="s">
        <v>611</v>
      </c>
      <c r="H87" s="66">
        <v>15</v>
      </c>
    </row>
    <row r="88" spans="1:8">
      <c r="A88" s="67">
        <v>9982</v>
      </c>
      <c r="B88" s="66" t="s">
        <v>521</v>
      </c>
      <c r="C88" s="67">
        <v>8205</v>
      </c>
      <c r="D88" s="66" t="s">
        <v>2</v>
      </c>
      <c r="E88" s="66" t="s">
        <v>513</v>
      </c>
      <c r="F88" s="66" t="s">
        <v>520</v>
      </c>
      <c r="G88" s="66" t="s">
        <v>517</v>
      </c>
      <c r="H88" s="66">
        <v>16</v>
      </c>
    </row>
    <row r="89" spans="1:8">
      <c r="A89" s="67">
        <v>9982</v>
      </c>
      <c r="B89" s="66" t="s">
        <v>519</v>
      </c>
      <c r="C89" s="67">
        <v>8204</v>
      </c>
      <c r="D89" s="66" t="s">
        <v>2</v>
      </c>
      <c r="E89" s="66" t="s">
        <v>513</v>
      </c>
      <c r="F89" s="66" t="s">
        <v>518</v>
      </c>
      <c r="G89" s="66" t="s">
        <v>517</v>
      </c>
      <c r="H89" s="66">
        <v>16</v>
      </c>
    </row>
    <row r="90" spans="1:8">
      <c r="A90" s="67">
        <v>5709</v>
      </c>
      <c r="B90" s="66" t="s">
        <v>798</v>
      </c>
      <c r="C90" s="67">
        <v>10572</v>
      </c>
      <c r="D90" s="66" t="s">
        <v>2</v>
      </c>
      <c r="E90" s="66" t="s">
        <v>513</v>
      </c>
      <c r="F90" s="66" t="s">
        <v>801</v>
      </c>
      <c r="G90" s="66" t="s">
        <v>611</v>
      </c>
      <c r="H90" s="66">
        <v>17</v>
      </c>
    </row>
    <row r="91" spans="1:8">
      <c r="A91" s="67">
        <v>5709</v>
      </c>
      <c r="B91" s="66" t="s">
        <v>798</v>
      </c>
      <c r="C91" s="67">
        <v>10573</v>
      </c>
      <c r="D91" s="66" t="s">
        <v>2</v>
      </c>
      <c r="E91" s="66" t="s">
        <v>513</v>
      </c>
      <c r="F91" s="66" t="s">
        <v>800</v>
      </c>
      <c r="G91" s="66" t="s">
        <v>611</v>
      </c>
      <c r="H91" s="66">
        <v>17</v>
      </c>
    </row>
    <row r="92" spans="1:8">
      <c r="A92" s="67">
        <v>9969</v>
      </c>
      <c r="B92" s="66" t="s">
        <v>703</v>
      </c>
      <c r="C92" s="67">
        <v>10592</v>
      </c>
      <c r="D92" s="66" t="s">
        <v>2</v>
      </c>
      <c r="E92" s="66" t="s">
        <v>513</v>
      </c>
      <c r="F92" s="66" t="s">
        <v>706</v>
      </c>
      <c r="G92" s="66" t="s">
        <v>611</v>
      </c>
      <c r="H92" s="66">
        <v>17</v>
      </c>
    </row>
    <row r="93" spans="1:8">
      <c r="A93" s="67">
        <v>9969</v>
      </c>
      <c r="B93" s="66" t="s">
        <v>703</v>
      </c>
      <c r="C93" s="67">
        <v>10593</v>
      </c>
      <c r="D93" s="66" t="s">
        <v>2</v>
      </c>
      <c r="E93" s="66" t="s">
        <v>513</v>
      </c>
      <c r="F93" s="66" t="s">
        <v>702</v>
      </c>
      <c r="G93" s="66" t="s">
        <v>611</v>
      </c>
      <c r="H93" s="66">
        <v>17</v>
      </c>
    </row>
    <row r="94" spans="1:8">
      <c r="A94" s="67">
        <v>5002</v>
      </c>
      <c r="B94" s="66" t="s">
        <v>78</v>
      </c>
      <c r="C94" s="67">
        <v>6012</v>
      </c>
      <c r="D94" s="66" t="s">
        <v>2</v>
      </c>
      <c r="E94" s="66" t="s">
        <v>513</v>
      </c>
      <c r="F94" s="66" t="s">
        <v>1167</v>
      </c>
      <c r="G94" s="66" t="s">
        <v>847</v>
      </c>
      <c r="H94" s="66">
        <v>18</v>
      </c>
    </row>
    <row r="95" spans="1:8">
      <c r="A95" s="67">
        <v>5002</v>
      </c>
      <c r="B95" s="66" t="s">
        <v>77</v>
      </c>
      <c r="C95" s="67">
        <v>6011</v>
      </c>
      <c r="D95" s="66" t="s">
        <v>2</v>
      </c>
      <c r="E95" s="66" t="s">
        <v>513</v>
      </c>
      <c r="F95" s="66" t="s">
        <v>1166</v>
      </c>
      <c r="G95" s="66" t="s">
        <v>847</v>
      </c>
      <c r="H95" s="66">
        <v>18</v>
      </c>
    </row>
    <row r="96" spans="1:8">
      <c r="A96" s="67">
        <v>5102</v>
      </c>
      <c r="B96" s="66" t="s">
        <v>888</v>
      </c>
      <c r="C96" s="67">
        <v>6014</v>
      </c>
      <c r="D96" s="66" t="s">
        <v>2</v>
      </c>
      <c r="E96" s="66" t="s">
        <v>513</v>
      </c>
      <c r="F96" s="66" t="s">
        <v>887</v>
      </c>
      <c r="G96" s="66" t="s">
        <v>847</v>
      </c>
      <c r="H96" s="66">
        <v>18</v>
      </c>
    </row>
    <row r="97" spans="1:8">
      <c r="A97" s="67">
        <v>5102</v>
      </c>
      <c r="B97" s="66" t="s">
        <v>886</v>
      </c>
      <c r="C97" s="67">
        <v>6013</v>
      </c>
      <c r="D97" s="66" t="s">
        <v>2</v>
      </c>
      <c r="E97" s="66" t="s">
        <v>513</v>
      </c>
      <c r="F97" s="66" t="s">
        <v>885</v>
      </c>
      <c r="G97" s="66" t="s">
        <v>847</v>
      </c>
      <c r="H97" s="66">
        <v>18</v>
      </c>
    </row>
    <row r="98" spans="1:8">
      <c r="A98" s="67">
        <v>5806</v>
      </c>
      <c r="B98" s="66" t="s">
        <v>788</v>
      </c>
      <c r="C98" s="67">
        <v>8201</v>
      </c>
      <c r="D98" s="66" t="s">
        <v>2</v>
      </c>
      <c r="E98" s="66" t="s">
        <v>513</v>
      </c>
      <c r="F98" s="66" t="s">
        <v>787</v>
      </c>
      <c r="G98" s="66" t="s">
        <v>517</v>
      </c>
      <c r="H98" s="66">
        <v>19</v>
      </c>
    </row>
    <row r="99" spans="1:8">
      <c r="A99" s="67">
        <v>5806</v>
      </c>
      <c r="B99" s="66" t="s">
        <v>786</v>
      </c>
      <c r="C99" s="67">
        <v>8200</v>
      </c>
      <c r="D99" s="66" t="s">
        <v>2</v>
      </c>
      <c r="E99" s="66" t="s">
        <v>513</v>
      </c>
      <c r="F99" s="66" t="s">
        <v>785</v>
      </c>
      <c r="G99" s="66" t="s">
        <v>517</v>
      </c>
      <c r="H99" s="66">
        <v>19</v>
      </c>
    </row>
    <row r="100" spans="1:8">
      <c r="A100" s="67">
        <v>9981</v>
      </c>
      <c r="B100" s="66" t="s">
        <v>525</v>
      </c>
      <c r="C100" s="67">
        <v>8202</v>
      </c>
      <c r="D100" s="66" t="s">
        <v>2</v>
      </c>
      <c r="E100" s="66" t="s">
        <v>513</v>
      </c>
      <c r="F100" s="66" t="s">
        <v>524</v>
      </c>
      <c r="G100" s="66" t="s">
        <v>517</v>
      </c>
      <c r="H100" s="66">
        <v>19</v>
      </c>
    </row>
    <row r="101" spans="1:8">
      <c r="A101" s="67">
        <v>9981</v>
      </c>
      <c r="B101" s="66" t="s">
        <v>523</v>
      </c>
      <c r="C101" s="67">
        <v>8203</v>
      </c>
      <c r="D101" s="66" t="s">
        <v>2</v>
      </c>
      <c r="E101" s="66" t="s">
        <v>513</v>
      </c>
      <c r="F101" s="66" t="s">
        <v>522</v>
      </c>
      <c r="G101" s="66" t="s">
        <v>517</v>
      </c>
      <c r="H101" s="66">
        <v>19</v>
      </c>
    </row>
    <row r="102" spans="1:8">
      <c r="A102" s="67">
        <v>5016</v>
      </c>
      <c r="B102" s="66" t="s">
        <v>979</v>
      </c>
      <c r="C102" s="67">
        <v>11609</v>
      </c>
      <c r="D102" s="66" t="s">
        <v>2</v>
      </c>
      <c r="E102" s="66" t="s">
        <v>513</v>
      </c>
      <c r="F102" s="66" t="s">
        <v>995</v>
      </c>
      <c r="G102" s="66" t="s">
        <v>611</v>
      </c>
      <c r="H102" s="66">
        <v>20</v>
      </c>
    </row>
    <row r="103" spans="1:8">
      <c r="A103" s="67">
        <v>5016</v>
      </c>
      <c r="B103" s="66" t="s">
        <v>979</v>
      </c>
      <c r="C103" s="67">
        <v>11610</v>
      </c>
      <c r="D103" s="66" t="s">
        <v>2</v>
      </c>
      <c r="E103" s="66" t="s">
        <v>513</v>
      </c>
      <c r="F103" s="66" t="s">
        <v>994</v>
      </c>
      <c r="G103" s="66" t="s">
        <v>611</v>
      </c>
      <c r="H103" s="66">
        <v>20</v>
      </c>
    </row>
    <row r="104" spans="1:8">
      <c r="A104" s="67">
        <v>5016</v>
      </c>
      <c r="B104" s="66" t="s">
        <v>979</v>
      </c>
      <c r="C104" s="67">
        <v>11613</v>
      </c>
      <c r="D104" s="66" t="s">
        <v>2</v>
      </c>
      <c r="E104" s="66" t="s">
        <v>513</v>
      </c>
      <c r="F104" s="66" t="s">
        <v>993</v>
      </c>
      <c r="G104" s="66" t="s">
        <v>611</v>
      </c>
      <c r="H104" s="66">
        <v>20</v>
      </c>
    </row>
    <row r="105" spans="1:8">
      <c r="A105" s="67">
        <v>5016</v>
      </c>
      <c r="B105" s="66" t="s">
        <v>979</v>
      </c>
      <c r="C105" s="67">
        <v>11614</v>
      </c>
      <c r="D105" s="66" t="s">
        <v>2</v>
      </c>
      <c r="E105" s="66" t="s">
        <v>513</v>
      </c>
      <c r="F105" s="66" t="s">
        <v>992</v>
      </c>
      <c r="G105" s="66" t="s">
        <v>611</v>
      </c>
      <c r="H105" s="66">
        <v>20</v>
      </c>
    </row>
    <row r="106" spans="1:8">
      <c r="A106" s="67">
        <v>5016</v>
      </c>
      <c r="B106" s="66" t="s">
        <v>979</v>
      </c>
      <c r="C106" s="67">
        <v>11617</v>
      </c>
      <c r="D106" s="66" t="s">
        <v>2</v>
      </c>
      <c r="E106" s="66" t="s">
        <v>513</v>
      </c>
      <c r="F106" s="66" t="s">
        <v>991</v>
      </c>
      <c r="G106" s="66" t="s">
        <v>611</v>
      </c>
      <c r="H106" s="66">
        <v>20</v>
      </c>
    </row>
    <row r="107" spans="1:8">
      <c r="A107" s="67">
        <v>5016</v>
      </c>
      <c r="B107" s="66" t="s">
        <v>979</v>
      </c>
      <c r="C107" s="67">
        <v>11618</v>
      </c>
      <c r="D107" s="66" t="s">
        <v>2</v>
      </c>
      <c r="E107" s="66" t="s">
        <v>513</v>
      </c>
      <c r="F107" s="66" t="s">
        <v>990</v>
      </c>
      <c r="G107" s="66" t="s">
        <v>611</v>
      </c>
      <c r="H107" s="66">
        <v>20</v>
      </c>
    </row>
    <row r="108" spans="1:8">
      <c r="A108" s="67">
        <v>5016</v>
      </c>
      <c r="B108" s="66" t="s">
        <v>979</v>
      </c>
      <c r="C108" s="67">
        <v>11621</v>
      </c>
      <c r="D108" s="66" t="s">
        <v>2</v>
      </c>
      <c r="E108" s="66" t="s">
        <v>513</v>
      </c>
      <c r="F108" s="66" t="s">
        <v>989</v>
      </c>
      <c r="G108" s="66" t="s">
        <v>611</v>
      </c>
      <c r="H108" s="66">
        <v>20</v>
      </c>
    </row>
    <row r="109" spans="1:8">
      <c r="A109" s="67">
        <v>5016</v>
      </c>
      <c r="B109" s="66" t="s">
        <v>979</v>
      </c>
      <c r="C109" s="67">
        <v>11601</v>
      </c>
      <c r="D109" s="66" t="s">
        <v>2</v>
      </c>
      <c r="E109" s="66" t="s">
        <v>513</v>
      </c>
      <c r="F109" s="66" t="s">
        <v>997</v>
      </c>
      <c r="G109" s="66" t="s">
        <v>611</v>
      </c>
      <c r="H109" s="66">
        <v>21</v>
      </c>
    </row>
    <row r="110" spans="1:8">
      <c r="A110" s="67">
        <v>5016</v>
      </c>
      <c r="B110" s="66" t="s">
        <v>979</v>
      </c>
      <c r="C110" s="67">
        <v>11623</v>
      </c>
      <c r="D110" s="66" t="s">
        <v>2</v>
      </c>
      <c r="E110" s="66" t="s">
        <v>513</v>
      </c>
      <c r="F110" s="66" t="s">
        <v>987</v>
      </c>
      <c r="G110" s="66" t="s">
        <v>611</v>
      </c>
      <c r="H110" s="66">
        <v>21</v>
      </c>
    </row>
    <row r="111" spans="1:8">
      <c r="A111" s="67">
        <v>5016</v>
      </c>
      <c r="B111" s="66" t="s">
        <v>979</v>
      </c>
      <c r="C111" s="67">
        <v>11624</v>
      </c>
      <c r="D111" s="66" t="s">
        <v>2</v>
      </c>
      <c r="E111" s="66" t="s">
        <v>513</v>
      </c>
      <c r="F111" s="66" t="s">
        <v>986</v>
      </c>
      <c r="G111" s="66" t="s">
        <v>611</v>
      </c>
      <c r="H111" s="66">
        <v>21</v>
      </c>
    </row>
    <row r="112" spans="1:8">
      <c r="A112" s="67">
        <v>5016</v>
      </c>
      <c r="B112" s="66" t="s">
        <v>979</v>
      </c>
      <c r="C112" s="67">
        <v>11625</v>
      </c>
      <c r="D112" s="66" t="s">
        <v>2</v>
      </c>
      <c r="E112" s="66" t="s">
        <v>513</v>
      </c>
      <c r="F112" s="66" t="s">
        <v>985</v>
      </c>
      <c r="G112" s="66" t="s">
        <v>611</v>
      </c>
      <c r="H112" s="66">
        <v>21</v>
      </c>
    </row>
    <row r="113" spans="1:8">
      <c r="A113" s="67">
        <v>5016</v>
      </c>
      <c r="B113" s="66" t="s">
        <v>979</v>
      </c>
      <c r="C113" s="67">
        <v>11627</v>
      </c>
      <c r="D113" s="66" t="s">
        <v>2</v>
      </c>
      <c r="E113" s="66" t="s">
        <v>513</v>
      </c>
      <c r="F113" s="66" t="s">
        <v>983</v>
      </c>
      <c r="G113" s="66" t="s">
        <v>611</v>
      </c>
      <c r="H113" s="66">
        <v>21</v>
      </c>
    </row>
    <row r="114" spans="1:8">
      <c r="A114" s="67">
        <v>5016</v>
      </c>
      <c r="B114" s="66" t="s">
        <v>979</v>
      </c>
      <c r="C114" s="67">
        <v>11628</v>
      </c>
      <c r="D114" s="66" t="s">
        <v>2</v>
      </c>
      <c r="E114" s="66" t="s">
        <v>513</v>
      </c>
      <c r="F114" s="66" t="s">
        <v>982</v>
      </c>
      <c r="G114" s="66" t="s">
        <v>611</v>
      </c>
      <c r="H114" s="66">
        <v>21</v>
      </c>
    </row>
    <row r="115" spans="1:8">
      <c r="A115" s="67">
        <v>5016</v>
      </c>
      <c r="B115" s="66" t="s">
        <v>979</v>
      </c>
      <c r="C115" s="67">
        <v>11602</v>
      </c>
      <c r="D115" s="66" t="s">
        <v>2</v>
      </c>
      <c r="E115" s="66" t="s">
        <v>513</v>
      </c>
      <c r="F115" s="66" t="s">
        <v>978</v>
      </c>
      <c r="G115" s="66" t="s">
        <v>611</v>
      </c>
      <c r="H115" s="66">
        <v>21</v>
      </c>
    </row>
    <row r="116" spans="1:8">
      <c r="A116" s="67">
        <v>5704</v>
      </c>
      <c r="B116" s="66" t="s">
        <v>817</v>
      </c>
      <c r="C116" s="67">
        <v>10007</v>
      </c>
      <c r="D116" s="66" t="s">
        <v>2</v>
      </c>
      <c r="E116" s="66" t="s">
        <v>513</v>
      </c>
      <c r="F116" s="66" t="s">
        <v>816</v>
      </c>
      <c r="G116" s="66" t="s">
        <v>511</v>
      </c>
      <c r="H116" s="66">
        <v>22</v>
      </c>
    </row>
    <row r="117" spans="1:8">
      <c r="A117" s="67">
        <v>9974</v>
      </c>
      <c r="B117" s="66" t="s">
        <v>687</v>
      </c>
      <c r="C117" s="67">
        <v>10017</v>
      </c>
      <c r="D117" s="66" t="s">
        <v>2</v>
      </c>
      <c r="E117" s="66" t="s">
        <v>513</v>
      </c>
      <c r="F117" s="66" t="s">
        <v>686</v>
      </c>
      <c r="G117" s="66" t="s">
        <v>511</v>
      </c>
      <c r="H117" s="66">
        <v>22</v>
      </c>
    </row>
    <row r="118" spans="1:8">
      <c r="A118" s="67">
        <v>5015</v>
      </c>
      <c r="B118" s="66" t="s">
        <v>1016</v>
      </c>
      <c r="C118" s="67">
        <v>6072</v>
      </c>
      <c r="D118" s="66" t="s">
        <v>2</v>
      </c>
      <c r="E118" s="66" t="s">
        <v>513</v>
      </c>
      <c r="F118" s="66" t="s">
        <v>1015</v>
      </c>
      <c r="G118" s="66" t="s">
        <v>847</v>
      </c>
      <c r="H118" s="66">
        <v>23</v>
      </c>
    </row>
    <row r="119" spans="1:8">
      <c r="A119" s="67">
        <v>5015</v>
      </c>
      <c r="B119" s="66" t="s">
        <v>1014</v>
      </c>
      <c r="C119" s="67">
        <v>6071</v>
      </c>
      <c r="D119" s="66" t="s">
        <v>2</v>
      </c>
      <c r="E119" s="66" t="s">
        <v>513</v>
      </c>
      <c r="F119" s="66" t="s">
        <v>1013</v>
      </c>
      <c r="G119" s="66" t="s">
        <v>847</v>
      </c>
      <c r="H119" s="66">
        <v>23</v>
      </c>
    </row>
    <row r="120" spans="1:8">
      <c r="A120" s="67">
        <v>5115</v>
      </c>
      <c r="B120" s="66" t="s">
        <v>851</v>
      </c>
      <c r="C120" s="67">
        <v>6073</v>
      </c>
      <c r="D120" s="66" t="s">
        <v>2</v>
      </c>
      <c r="E120" s="66" t="s">
        <v>513</v>
      </c>
      <c r="F120" s="66" t="s">
        <v>850</v>
      </c>
      <c r="G120" s="66" t="s">
        <v>847</v>
      </c>
      <c r="H120" s="66">
        <v>23</v>
      </c>
    </row>
    <row r="121" spans="1:8">
      <c r="A121" s="67">
        <v>5115</v>
      </c>
      <c r="B121" s="66" t="s">
        <v>849</v>
      </c>
      <c r="C121" s="67">
        <v>6074</v>
      </c>
      <c r="D121" s="66" t="s">
        <v>2</v>
      </c>
      <c r="E121" s="66" t="s">
        <v>513</v>
      </c>
      <c r="F121" s="66" t="s">
        <v>848</v>
      </c>
      <c r="G121" s="66" t="s">
        <v>847</v>
      </c>
      <c r="H121" s="66">
        <v>23</v>
      </c>
    </row>
    <row r="122" spans="1:8">
      <c r="A122" s="67">
        <v>1000</v>
      </c>
      <c r="B122" s="66" t="s">
        <v>1226</v>
      </c>
      <c r="C122" s="67">
        <v>220</v>
      </c>
      <c r="D122" s="66" t="s">
        <v>2</v>
      </c>
      <c r="E122" s="66" t="s">
        <v>513</v>
      </c>
      <c r="F122" s="66" t="s">
        <v>1225</v>
      </c>
      <c r="G122" s="66" t="s">
        <v>511</v>
      </c>
      <c r="H122" s="66">
        <v>24</v>
      </c>
    </row>
    <row r="123" spans="1:8">
      <c r="A123" s="67">
        <v>1000</v>
      </c>
      <c r="B123" s="66" t="s">
        <v>1224</v>
      </c>
      <c r="C123" s="67">
        <v>219</v>
      </c>
      <c r="D123" s="66" t="s">
        <v>2</v>
      </c>
      <c r="E123" s="66" t="s">
        <v>513</v>
      </c>
      <c r="F123" s="66" t="s">
        <v>1223</v>
      </c>
      <c r="G123" s="66" t="s">
        <v>511</v>
      </c>
      <c r="H123" s="66">
        <v>24</v>
      </c>
    </row>
    <row r="124" spans="1:8">
      <c r="A124" s="67">
        <v>5027</v>
      </c>
      <c r="B124" s="66" t="s">
        <v>893</v>
      </c>
      <c r="C124" s="67">
        <v>12703</v>
      </c>
      <c r="D124" s="66" t="s">
        <v>2</v>
      </c>
      <c r="E124" s="66" t="s">
        <v>513</v>
      </c>
      <c r="F124" s="66" t="s">
        <v>903</v>
      </c>
      <c r="G124" s="66" t="s">
        <v>611</v>
      </c>
      <c r="H124" s="66">
        <v>25</v>
      </c>
    </row>
    <row r="125" spans="1:8">
      <c r="A125" s="67">
        <v>5027</v>
      </c>
      <c r="B125" s="66" t="s">
        <v>893</v>
      </c>
      <c r="C125" s="67">
        <v>12706</v>
      </c>
      <c r="D125" s="66" t="s">
        <v>2</v>
      </c>
      <c r="E125" s="66" t="s">
        <v>513</v>
      </c>
      <c r="F125" s="66" t="s">
        <v>892</v>
      </c>
      <c r="G125" s="66" t="s">
        <v>611</v>
      </c>
      <c r="H125" s="66">
        <v>25</v>
      </c>
    </row>
    <row r="126" spans="1:8">
      <c r="A126" s="67">
        <v>5014</v>
      </c>
      <c r="B126" s="66" t="s">
        <v>1028</v>
      </c>
      <c r="C126" s="67">
        <v>11401</v>
      </c>
      <c r="D126" s="66" t="s">
        <v>2</v>
      </c>
      <c r="E126" s="66" t="s">
        <v>513</v>
      </c>
      <c r="F126" s="66" t="s">
        <v>1031</v>
      </c>
      <c r="G126" s="66" t="s">
        <v>611</v>
      </c>
      <c r="H126" s="66">
        <v>26</v>
      </c>
    </row>
    <row r="127" spans="1:8">
      <c r="A127" s="67">
        <v>5014</v>
      </c>
      <c r="B127" s="66" t="s">
        <v>1028</v>
      </c>
      <c r="C127" s="67">
        <v>11402</v>
      </c>
      <c r="D127" s="66" t="s">
        <v>2</v>
      </c>
      <c r="E127" s="66" t="s">
        <v>513</v>
      </c>
      <c r="F127" s="66" t="s">
        <v>1030</v>
      </c>
      <c r="G127" s="66" t="s">
        <v>611</v>
      </c>
      <c r="H127" s="66">
        <v>26</v>
      </c>
    </row>
    <row r="128" spans="1:8">
      <c r="A128" s="67">
        <v>5014</v>
      </c>
      <c r="B128" s="66" t="s">
        <v>1021</v>
      </c>
      <c r="C128" s="67">
        <v>11413</v>
      </c>
      <c r="D128" s="66" t="s">
        <v>2</v>
      </c>
      <c r="E128" s="66" t="s">
        <v>513</v>
      </c>
      <c r="F128" s="66" t="s">
        <v>1024</v>
      </c>
      <c r="G128" s="66" t="s">
        <v>611</v>
      </c>
      <c r="H128" s="66">
        <v>26</v>
      </c>
    </row>
    <row r="129" spans="1:8">
      <c r="A129" s="67">
        <v>5014</v>
      </c>
      <c r="B129" s="66" t="s">
        <v>1021</v>
      </c>
      <c r="C129" s="67">
        <v>11414</v>
      </c>
      <c r="D129" s="66" t="s">
        <v>2</v>
      </c>
      <c r="E129" s="66" t="s">
        <v>513</v>
      </c>
      <c r="F129" s="66" t="s">
        <v>1023</v>
      </c>
      <c r="G129" s="66" t="s">
        <v>611</v>
      </c>
      <c r="H129" s="66">
        <v>26</v>
      </c>
    </row>
    <row r="130" spans="1:8">
      <c r="A130" s="67">
        <v>5003</v>
      </c>
      <c r="B130" s="66" t="s">
        <v>124</v>
      </c>
      <c r="C130" s="67">
        <v>10322</v>
      </c>
      <c r="D130" s="66" t="s">
        <v>2</v>
      </c>
      <c r="E130" s="66" t="s">
        <v>513</v>
      </c>
      <c r="F130" s="66" t="s">
        <v>1165</v>
      </c>
      <c r="G130" s="66" t="s">
        <v>611</v>
      </c>
      <c r="H130" s="66">
        <v>27</v>
      </c>
    </row>
    <row r="131" spans="1:8">
      <c r="A131" s="67">
        <v>5003</v>
      </c>
      <c r="B131" s="66" t="s">
        <v>122</v>
      </c>
      <c r="C131" s="67">
        <v>10320</v>
      </c>
      <c r="D131" s="66" t="s">
        <v>2</v>
      </c>
      <c r="E131" s="66" t="s">
        <v>513</v>
      </c>
      <c r="F131" s="66" t="s">
        <v>1122</v>
      </c>
      <c r="G131" s="66" t="s">
        <v>611</v>
      </c>
      <c r="H131" s="66">
        <v>27</v>
      </c>
    </row>
    <row r="132" spans="1:8">
      <c r="A132" s="67">
        <v>5003</v>
      </c>
      <c r="B132" s="66" t="s">
        <v>123</v>
      </c>
      <c r="C132" s="67">
        <v>10321</v>
      </c>
      <c r="D132" s="66" t="s">
        <v>2</v>
      </c>
      <c r="E132" s="66" t="s">
        <v>513</v>
      </c>
      <c r="F132" s="66" t="s">
        <v>1121</v>
      </c>
      <c r="G132" s="66" t="s">
        <v>611</v>
      </c>
      <c r="H132" s="66">
        <v>27</v>
      </c>
    </row>
    <row r="133" spans="1:8">
      <c r="A133" s="67">
        <v>5707</v>
      </c>
      <c r="B133" s="66" t="s">
        <v>811</v>
      </c>
      <c r="C133" s="67">
        <v>20201</v>
      </c>
      <c r="D133" s="66" t="s">
        <v>2</v>
      </c>
      <c r="E133" s="66" t="s">
        <v>513</v>
      </c>
      <c r="F133" s="66" t="s">
        <v>812</v>
      </c>
      <c r="G133" s="66" t="s">
        <v>517</v>
      </c>
      <c r="H133" s="66">
        <v>28</v>
      </c>
    </row>
    <row r="134" spans="1:8">
      <c r="A134" s="67">
        <v>5707</v>
      </c>
      <c r="B134" s="66" t="s">
        <v>811</v>
      </c>
      <c r="C134" s="67">
        <v>20200</v>
      </c>
      <c r="D134" s="66" t="s">
        <v>2</v>
      </c>
      <c r="E134" s="66" t="s">
        <v>513</v>
      </c>
      <c r="F134" s="66" t="s">
        <v>810</v>
      </c>
      <c r="G134" s="66" t="s">
        <v>511</v>
      </c>
      <c r="H134" s="66">
        <v>28</v>
      </c>
    </row>
    <row r="135" spans="1:8">
      <c r="A135" s="67">
        <v>5707</v>
      </c>
      <c r="B135" s="66" t="s">
        <v>808</v>
      </c>
      <c r="C135" s="67">
        <v>10200</v>
      </c>
      <c r="D135" s="66" t="s">
        <v>2</v>
      </c>
      <c r="E135" s="66" t="s">
        <v>513</v>
      </c>
      <c r="F135" s="66" t="s">
        <v>809</v>
      </c>
      <c r="G135" s="66" t="s">
        <v>511</v>
      </c>
      <c r="H135" s="66">
        <v>28</v>
      </c>
    </row>
    <row r="136" spans="1:8">
      <c r="A136" s="67">
        <v>5707</v>
      </c>
      <c r="B136" s="66" t="s">
        <v>808</v>
      </c>
      <c r="C136" s="67">
        <v>10201</v>
      </c>
      <c r="D136" s="66" t="s">
        <v>2</v>
      </c>
      <c r="E136" s="66" t="s">
        <v>513</v>
      </c>
      <c r="F136" s="66" t="s">
        <v>807</v>
      </c>
      <c r="G136" s="66" t="s">
        <v>511</v>
      </c>
      <c r="H136" s="66">
        <v>28</v>
      </c>
    </row>
    <row r="137" spans="1:8">
      <c r="A137" s="67">
        <v>9967</v>
      </c>
      <c r="B137" s="66" t="s">
        <v>713</v>
      </c>
      <c r="C137" s="67">
        <v>10211</v>
      </c>
      <c r="D137" s="66" t="s">
        <v>2</v>
      </c>
      <c r="E137" s="66" t="s">
        <v>513</v>
      </c>
      <c r="F137" s="66" t="s">
        <v>716</v>
      </c>
      <c r="G137" s="66" t="s">
        <v>511</v>
      </c>
      <c r="H137" s="66">
        <v>28</v>
      </c>
    </row>
    <row r="138" spans="1:8">
      <c r="A138" s="67">
        <v>9967</v>
      </c>
      <c r="B138" s="66" t="s">
        <v>713</v>
      </c>
      <c r="C138" s="67">
        <v>10210</v>
      </c>
      <c r="D138" s="66" t="s">
        <v>2</v>
      </c>
      <c r="E138" s="66" t="s">
        <v>513</v>
      </c>
      <c r="F138" s="66" t="s">
        <v>712</v>
      </c>
      <c r="G138" s="66" t="s">
        <v>511</v>
      </c>
      <c r="H138" s="66">
        <v>28</v>
      </c>
    </row>
    <row r="139" spans="1:8">
      <c r="A139" s="67">
        <v>5026</v>
      </c>
      <c r="B139" s="66" t="s">
        <v>908</v>
      </c>
      <c r="C139" s="67">
        <v>12611</v>
      </c>
      <c r="D139" s="66" t="s">
        <v>2</v>
      </c>
      <c r="E139" s="66" t="s">
        <v>513</v>
      </c>
      <c r="F139" s="66" t="s">
        <v>909</v>
      </c>
      <c r="G139" s="66" t="s">
        <v>611</v>
      </c>
      <c r="H139" s="66">
        <v>29</v>
      </c>
    </row>
    <row r="140" spans="1:8">
      <c r="A140" s="67">
        <v>5026</v>
      </c>
      <c r="B140" s="66" t="s">
        <v>908</v>
      </c>
      <c r="C140" s="67">
        <v>12612</v>
      </c>
      <c r="D140" s="66" t="s">
        <v>2</v>
      </c>
      <c r="E140" s="66" t="s">
        <v>513</v>
      </c>
      <c r="F140" s="66" t="s">
        <v>907</v>
      </c>
      <c r="G140" s="66" t="s">
        <v>611</v>
      </c>
      <c r="H140" s="66">
        <v>29</v>
      </c>
    </row>
    <row r="141" spans="1:8">
      <c r="A141" s="67">
        <v>5026</v>
      </c>
      <c r="B141" s="66" t="s">
        <v>905</v>
      </c>
      <c r="C141" s="67">
        <v>12601</v>
      </c>
      <c r="D141" s="66" t="s">
        <v>2</v>
      </c>
      <c r="E141" s="66" t="s">
        <v>513</v>
      </c>
      <c r="F141" s="66" t="s">
        <v>906</v>
      </c>
      <c r="G141" s="66" t="s">
        <v>611</v>
      </c>
      <c r="H141" s="66">
        <v>29</v>
      </c>
    </row>
    <row r="142" spans="1:8">
      <c r="A142" s="67">
        <v>5026</v>
      </c>
      <c r="B142" s="66" t="s">
        <v>905</v>
      </c>
      <c r="C142" s="67">
        <v>12602</v>
      </c>
      <c r="D142" s="66" t="s">
        <v>2</v>
      </c>
      <c r="E142" s="66" t="s">
        <v>513</v>
      </c>
      <c r="F142" s="66" t="s">
        <v>904</v>
      </c>
      <c r="G142" s="66" t="s">
        <v>611</v>
      </c>
      <c r="H142" s="66">
        <v>29</v>
      </c>
    </row>
    <row r="143" spans="1:8">
      <c r="A143" s="67">
        <v>5017</v>
      </c>
      <c r="B143" s="66" t="s">
        <v>474</v>
      </c>
      <c r="C143" s="67">
        <v>11792</v>
      </c>
      <c r="D143" s="66" t="s">
        <v>2</v>
      </c>
      <c r="E143" s="66" t="s">
        <v>513</v>
      </c>
      <c r="F143" s="66" t="s">
        <v>976</v>
      </c>
      <c r="G143" s="66" t="s">
        <v>611</v>
      </c>
      <c r="H143" s="66">
        <v>30</v>
      </c>
    </row>
    <row r="144" spans="1:8">
      <c r="A144" s="67">
        <v>5017</v>
      </c>
      <c r="B144" s="66" t="s">
        <v>467</v>
      </c>
      <c r="C144" s="67">
        <v>11761</v>
      </c>
      <c r="D144" s="66" t="s">
        <v>2</v>
      </c>
      <c r="E144" s="66" t="s">
        <v>513</v>
      </c>
      <c r="F144" s="66" t="s">
        <v>941</v>
      </c>
      <c r="G144" s="66" t="s">
        <v>611</v>
      </c>
      <c r="H144" s="66">
        <v>30</v>
      </c>
    </row>
    <row r="145" spans="1:8">
      <c r="A145" s="67">
        <v>5017</v>
      </c>
      <c r="B145" s="66" t="s">
        <v>468</v>
      </c>
      <c r="C145" s="67">
        <v>11762</v>
      </c>
      <c r="D145" s="66" t="s">
        <v>2</v>
      </c>
      <c r="E145" s="66" t="s">
        <v>513</v>
      </c>
      <c r="F145" s="66" t="s">
        <v>940</v>
      </c>
      <c r="G145" s="66" t="s">
        <v>611</v>
      </c>
      <c r="H145" s="66">
        <v>30</v>
      </c>
    </row>
    <row r="146" spans="1:8">
      <c r="A146" s="67">
        <v>5017</v>
      </c>
      <c r="B146" s="66" t="s">
        <v>469</v>
      </c>
      <c r="C146" s="67">
        <v>11771</v>
      </c>
      <c r="D146" s="66" t="s">
        <v>2</v>
      </c>
      <c r="E146" s="66" t="s">
        <v>513</v>
      </c>
      <c r="F146" s="66" t="s">
        <v>939</v>
      </c>
      <c r="G146" s="66" t="s">
        <v>611</v>
      </c>
      <c r="H146" s="66">
        <v>30</v>
      </c>
    </row>
    <row r="147" spans="1:8">
      <c r="A147" s="67">
        <v>5017</v>
      </c>
      <c r="B147" s="66" t="s">
        <v>470</v>
      </c>
      <c r="C147" s="67">
        <v>11772</v>
      </c>
      <c r="D147" s="66" t="s">
        <v>2</v>
      </c>
      <c r="E147" s="66" t="s">
        <v>513</v>
      </c>
      <c r="F147" s="66" t="s">
        <v>938</v>
      </c>
      <c r="G147" s="66" t="s">
        <v>611</v>
      </c>
      <c r="H147" s="66">
        <v>30</v>
      </c>
    </row>
    <row r="148" spans="1:8">
      <c r="A148" s="67">
        <v>5017</v>
      </c>
      <c r="B148" s="66" t="s">
        <v>471</v>
      </c>
      <c r="C148" s="67">
        <v>11781</v>
      </c>
      <c r="D148" s="66" t="s">
        <v>2</v>
      </c>
      <c r="E148" s="66" t="s">
        <v>513</v>
      </c>
      <c r="F148" s="66" t="s">
        <v>937</v>
      </c>
      <c r="G148" s="66" t="s">
        <v>611</v>
      </c>
      <c r="H148" s="66">
        <v>30</v>
      </c>
    </row>
    <row r="149" spans="1:8">
      <c r="A149" s="67">
        <v>5017</v>
      </c>
      <c r="B149" s="66" t="s">
        <v>472</v>
      </c>
      <c r="C149" s="67">
        <v>11782</v>
      </c>
      <c r="D149" s="66" t="s">
        <v>2</v>
      </c>
      <c r="E149" s="66" t="s">
        <v>513</v>
      </c>
      <c r="F149" s="66" t="s">
        <v>936</v>
      </c>
      <c r="G149" s="66" t="s">
        <v>611</v>
      </c>
      <c r="H149" s="66">
        <v>30</v>
      </c>
    </row>
    <row r="150" spans="1:8">
      <c r="A150" s="67">
        <v>5017</v>
      </c>
      <c r="B150" s="66" t="s">
        <v>473</v>
      </c>
      <c r="C150" s="67">
        <v>11791</v>
      </c>
      <c r="D150" s="66" t="s">
        <v>2</v>
      </c>
      <c r="E150" s="66" t="s">
        <v>513</v>
      </c>
      <c r="F150" s="66" t="s">
        <v>935</v>
      </c>
      <c r="G150" s="66" t="s">
        <v>611</v>
      </c>
      <c r="H150" s="66">
        <v>30</v>
      </c>
    </row>
    <row r="151" spans="1:8">
      <c r="A151" s="67">
        <v>5032</v>
      </c>
      <c r="B151" s="66" t="s">
        <v>890</v>
      </c>
      <c r="C151" s="67">
        <v>15602</v>
      </c>
      <c r="D151" s="66" t="s">
        <v>2</v>
      </c>
      <c r="E151" s="66" t="s">
        <v>513</v>
      </c>
      <c r="F151" s="66" t="s">
        <v>891</v>
      </c>
      <c r="G151" s="66" t="s">
        <v>611</v>
      </c>
      <c r="H151" s="66">
        <v>31</v>
      </c>
    </row>
    <row r="152" spans="1:8">
      <c r="A152" s="67">
        <v>5032</v>
      </c>
      <c r="B152" s="66" t="s">
        <v>890</v>
      </c>
      <c r="C152" s="67">
        <v>15601</v>
      </c>
      <c r="D152" s="66" t="s">
        <v>2</v>
      </c>
      <c r="E152" s="66" t="s">
        <v>513</v>
      </c>
      <c r="F152" s="66" t="s">
        <v>889</v>
      </c>
      <c r="G152" s="66" t="s">
        <v>611</v>
      </c>
      <c r="H152" s="66">
        <v>31</v>
      </c>
    </row>
    <row r="153" spans="1:8">
      <c r="A153" s="67">
        <v>9961</v>
      </c>
      <c r="B153" s="66" t="s">
        <v>725</v>
      </c>
      <c r="C153" s="67">
        <v>950</v>
      </c>
      <c r="D153" s="66" t="s">
        <v>2</v>
      </c>
      <c r="E153" s="66" t="s">
        <v>513</v>
      </c>
      <c r="F153" s="66" t="s">
        <v>724</v>
      </c>
      <c r="G153" s="66" t="s">
        <v>511</v>
      </c>
      <c r="H153" s="66" t="s">
        <v>1249</v>
      </c>
    </row>
    <row r="154" spans="1:8">
      <c r="A154" s="67">
        <v>9961</v>
      </c>
      <c r="B154" s="66" t="s">
        <v>720</v>
      </c>
      <c r="C154" s="67">
        <v>569</v>
      </c>
      <c r="D154" s="66" t="s">
        <v>2</v>
      </c>
      <c r="E154" s="66" t="s">
        <v>513</v>
      </c>
      <c r="F154" s="66" t="s">
        <v>719</v>
      </c>
      <c r="G154" s="66" t="s">
        <v>511</v>
      </c>
      <c r="H154" s="66" t="s">
        <v>1249</v>
      </c>
    </row>
    <row r="155" spans="1:8">
      <c r="A155" s="67">
        <v>9961</v>
      </c>
      <c r="B155" s="66" t="s">
        <v>718</v>
      </c>
      <c r="C155" s="67">
        <v>568</v>
      </c>
      <c r="D155" s="66" t="s">
        <v>2</v>
      </c>
      <c r="E155" s="66" t="s">
        <v>513</v>
      </c>
      <c r="F155" s="66" t="s">
        <v>717</v>
      </c>
      <c r="G155" s="66" t="s">
        <v>511</v>
      </c>
      <c r="H155" s="66" t="s">
        <v>1249</v>
      </c>
    </row>
    <row r="156" spans="1:8">
      <c r="A156" s="67">
        <v>5708</v>
      </c>
      <c r="B156" s="66" t="s">
        <v>803</v>
      </c>
      <c r="C156" s="67">
        <v>20570</v>
      </c>
      <c r="D156" s="66" t="s">
        <v>2</v>
      </c>
      <c r="E156" s="66" t="s">
        <v>513</v>
      </c>
      <c r="F156" s="66" t="s">
        <v>804</v>
      </c>
      <c r="G156" s="66" t="s">
        <v>511</v>
      </c>
      <c r="H156" s="66" t="s">
        <v>501</v>
      </c>
    </row>
    <row r="157" spans="1:8">
      <c r="A157" s="67">
        <v>5708</v>
      </c>
      <c r="B157" s="66" t="s">
        <v>803</v>
      </c>
      <c r="C157" s="67">
        <v>20571</v>
      </c>
      <c r="D157" s="66" t="s">
        <v>2</v>
      </c>
      <c r="E157" s="66" t="s">
        <v>513</v>
      </c>
      <c r="F157" s="66" t="s">
        <v>802</v>
      </c>
      <c r="G157" s="66" t="s">
        <v>511</v>
      </c>
      <c r="H157" s="66" t="s">
        <v>501</v>
      </c>
    </row>
    <row r="158" spans="1:8">
      <c r="A158" s="67">
        <v>5709</v>
      </c>
      <c r="B158" s="66" t="s">
        <v>798</v>
      </c>
      <c r="C158" s="67">
        <v>20573</v>
      </c>
      <c r="D158" s="66" t="s">
        <v>2</v>
      </c>
      <c r="E158" s="66" t="s">
        <v>513</v>
      </c>
      <c r="F158" s="66" t="s">
        <v>799</v>
      </c>
      <c r="G158" s="66" t="s">
        <v>511</v>
      </c>
      <c r="H158" s="66" t="s">
        <v>501</v>
      </c>
    </row>
    <row r="159" spans="1:8">
      <c r="A159" s="67">
        <v>5709</v>
      </c>
      <c r="B159" s="66" t="s">
        <v>798</v>
      </c>
      <c r="C159" s="67">
        <v>20572</v>
      </c>
      <c r="D159" s="66" t="s">
        <v>2</v>
      </c>
      <c r="E159" s="66" t="s">
        <v>513</v>
      </c>
      <c r="F159" s="66" t="s">
        <v>797</v>
      </c>
      <c r="G159" s="66" t="s">
        <v>511</v>
      </c>
      <c r="H159" s="66" t="s">
        <v>501</v>
      </c>
    </row>
    <row r="160" spans="1:8">
      <c r="A160" s="67">
        <v>5710</v>
      </c>
      <c r="B160" s="66" t="s">
        <v>793</v>
      </c>
      <c r="C160" s="67">
        <v>20574</v>
      </c>
      <c r="D160" s="66" t="s">
        <v>2</v>
      </c>
      <c r="E160" s="66" t="s">
        <v>513</v>
      </c>
      <c r="F160" s="66" t="s">
        <v>795</v>
      </c>
      <c r="G160" s="66" t="s">
        <v>511</v>
      </c>
      <c r="H160" s="66" t="s">
        <v>501</v>
      </c>
    </row>
    <row r="161" spans="1:8">
      <c r="A161" s="67">
        <v>5710</v>
      </c>
      <c r="B161" s="66" t="s">
        <v>793</v>
      </c>
      <c r="C161" s="67">
        <v>20575</v>
      </c>
      <c r="D161" s="66" t="s">
        <v>2</v>
      </c>
      <c r="E161" s="66" t="s">
        <v>513</v>
      </c>
      <c r="F161" s="66" t="s">
        <v>792</v>
      </c>
      <c r="G161" s="66" t="s">
        <v>511</v>
      </c>
      <c r="H161" s="66" t="s">
        <v>501</v>
      </c>
    </row>
    <row r="162" spans="1:8">
      <c r="A162" s="67">
        <v>9967</v>
      </c>
      <c r="B162" s="66" t="s">
        <v>713</v>
      </c>
      <c r="C162" s="67">
        <v>20211</v>
      </c>
      <c r="D162" s="66" t="s">
        <v>2</v>
      </c>
      <c r="E162" s="66" t="s">
        <v>513</v>
      </c>
      <c r="F162" s="66" t="s">
        <v>715</v>
      </c>
      <c r="G162" s="66" t="s">
        <v>517</v>
      </c>
      <c r="H162" s="66" t="s">
        <v>501</v>
      </c>
    </row>
    <row r="163" spans="1:8">
      <c r="A163" s="67">
        <v>9967</v>
      </c>
      <c r="B163" s="66" t="s">
        <v>713</v>
      </c>
      <c r="C163" s="67">
        <v>20210</v>
      </c>
      <c r="D163" s="66" t="s">
        <v>2</v>
      </c>
      <c r="E163" s="66" t="s">
        <v>513</v>
      </c>
      <c r="F163" s="66" t="s">
        <v>714</v>
      </c>
      <c r="G163" s="66" t="s">
        <v>511</v>
      </c>
      <c r="H163" s="66" t="s">
        <v>501</v>
      </c>
    </row>
    <row r="164" spans="1:8">
      <c r="A164" s="67">
        <v>9968</v>
      </c>
      <c r="B164" s="66" t="s">
        <v>708</v>
      </c>
      <c r="C164" s="67">
        <v>20590</v>
      </c>
      <c r="D164" s="66" t="s">
        <v>2</v>
      </c>
      <c r="E164" s="66" t="s">
        <v>513</v>
      </c>
      <c r="F164" s="66" t="s">
        <v>710</v>
      </c>
      <c r="G164" s="66" t="s">
        <v>511</v>
      </c>
      <c r="H164" s="66" t="s">
        <v>501</v>
      </c>
    </row>
    <row r="165" spans="1:8">
      <c r="A165" s="67">
        <v>9968</v>
      </c>
      <c r="B165" s="66" t="s">
        <v>708</v>
      </c>
      <c r="C165" s="67">
        <v>20591</v>
      </c>
      <c r="D165" s="66" t="s">
        <v>2</v>
      </c>
      <c r="E165" s="66" t="s">
        <v>513</v>
      </c>
      <c r="F165" s="66" t="s">
        <v>707</v>
      </c>
      <c r="G165" s="66" t="s">
        <v>511</v>
      </c>
      <c r="H165" s="66" t="s">
        <v>501</v>
      </c>
    </row>
    <row r="166" spans="1:8">
      <c r="A166" s="67">
        <v>9969</v>
      </c>
      <c r="B166" s="66" t="s">
        <v>703</v>
      </c>
      <c r="C166" s="67">
        <v>20592</v>
      </c>
      <c r="D166" s="66" t="s">
        <v>2</v>
      </c>
      <c r="E166" s="66" t="s">
        <v>513</v>
      </c>
      <c r="F166" s="66" t="s">
        <v>705</v>
      </c>
      <c r="G166" s="66" t="s">
        <v>511</v>
      </c>
      <c r="H166" s="66" t="s">
        <v>501</v>
      </c>
    </row>
    <row r="167" spans="1:8">
      <c r="A167" s="67">
        <v>9969</v>
      </c>
      <c r="B167" s="66" t="s">
        <v>703</v>
      </c>
      <c r="C167" s="67">
        <v>20593</v>
      </c>
      <c r="D167" s="66" t="s">
        <v>2</v>
      </c>
      <c r="E167" s="66" t="s">
        <v>513</v>
      </c>
      <c r="F167" s="66" t="s">
        <v>704</v>
      </c>
      <c r="G167" s="66" t="s">
        <v>511</v>
      </c>
      <c r="H167" s="66" t="s">
        <v>501</v>
      </c>
    </row>
    <row r="168" spans="1:8">
      <c r="A168" s="67">
        <v>9970</v>
      </c>
      <c r="B168" s="66" t="s">
        <v>698</v>
      </c>
      <c r="C168" s="67">
        <v>20595</v>
      </c>
      <c r="D168" s="66" t="s">
        <v>2</v>
      </c>
      <c r="E168" s="66" t="s">
        <v>513</v>
      </c>
      <c r="F168" s="66" t="s">
        <v>700</v>
      </c>
      <c r="G168" s="66" t="s">
        <v>511</v>
      </c>
      <c r="H168" s="66" t="s">
        <v>501</v>
      </c>
    </row>
    <row r="169" spans="1:8">
      <c r="A169" s="67">
        <v>9970</v>
      </c>
      <c r="B169" s="66" t="s">
        <v>698</v>
      </c>
      <c r="C169" s="67">
        <v>20594</v>
      </c>
      <c r="D169" s="66" t="s">
        <v>2</v>
      </c>
      <c r="E169" s="66" t="s">
        <v>513</v>
      </c>
      <c r="F169" s="66" t="s">
        <v>697</v>
      </c>
      <c r="G169" s="66" t="s">
        <v>511</v>
      </c>
      <c r="H169" s="66" t="s">
        <v>501</v>
      </c>
    </row>
    <row r="170" spans="1:8">
      <c r="A170" s="67">
        <v>1</v>
      </c>
      <c r="B170" s="66" t="s">
        <v>1242</v>
      </c>
      <c r="C170" s="67">
        <v>1025</v>
      </c>
      <c r="D170" s="66" t="s">
        <v>92</v>
      </c>
      <c r="E170" s="66" t="s">
        <v>1241</v>
      </c>
      <c r="F170" s="66" t="s">
        <v>513</v>
      </c>
      <c r="G170" s="66" t="s">
        <v>511</v>
      </c>
    </row>
    <row r="171" spans="1:8">
      <c r="A171" s="67">
        <v>1</v>
      </c>
      <c r="B171" s="66" t="s">
        <v>1240</v>
      </c>
      <c r="C171" s="67">
        <v>850</v>
      </c>
      <c r="D171" s="66" t="s">
        <v>1239</v>
      </c>
      <c r="E171" s="66" t="s">
        <v>513</v>
      </c>
      <c r="F171" s="66" t="s">
        <v>1238</v>
      </c>
      <c r="G171" s="66" t="s">
        <v>511</v>
      </c>
    </row>
    <row r="172" spans="1:8">
      <c r="A172" s="67">
        <v>1</v>
      </c>
      <c r="B172" s="66" t="s">
        <v>1237</v>
      </c>
      <c r="C172" s="67">
        <v>9999</v>
      </c>
      <c r="D172" s="66" t="s">
        <v>92</v>
      </c>
      <c r="E172" s="66" t="s">
        <v>1236</v>
      </c>
      <c r="F172" s="66" t="s">
        <v>513</v>
      </c>
      <c r="G172" s="66" t="s">
        <v>511</v>
      </c>
    </row>
    <row r="173" spans="1:8">
      <c r="A173" s="67">
        <v>1</v>
      </c>
      <c r="B173" s="66" t="s">
        <v>1235</v>
      </c>
      <c r="C173" s="67">
        <v>398</v>
      </c>
      <c r="D173" s="66" t="s">
        <v>1228</v>
      </c>
      <c r="E173" s="66" t="s">
        <v>1234</v>
      </c>
      <c r="F173" s="66" t="s">
        <v>513</v>
      </c>
      <c r="G173" s="66" t="s">
        <v>511</v>
      </c>
    </row>
    <row r="174" spans="1:8">
      <c r="A174" s="67">
        <v>1</v>
      </c>
      <c r="B174" s="66" t="s">
        <v>1233</v>
      </c>
      <c r="C174" s="67">
        <v>399</v>
      </c>
      <c r="D174" s="66" t="s">
        <v>1228</v>
      </c>
      <c r="E174" s="66" t="s">
        <v>513</v>
      </c>
      <c r="F174" s="66" t="s">
        <v>1232</v>
      </c>
      <c r="G174" s="66" t="s">
        <v>511</v>
      </c>
    </row>
    <row r="175" spans="1:8">
      <c r="A175" s="67">
        <v>1</v>
      </c>
      <c r="B175" s="66" t="s">
        <v>1231</v>
      </c>
      <c r="C175" s="67">
        <v>298</v>
      </c>
      <c r="D175" s="66" t="s">
        <v>1228</v>
      </c>
      <c r="E175" s="66" t="s">
        <v>1230</v>
      </c>
      <c r="F175" s="66" t="s">
        <v>513</v>
      </c>
      <c r="G175" s="66" t="s">
        <v>511</v>
      </c>
    </row>
    <row r="176" spans="1:8">
      <c r="A176" s="67">
        <v>1</v>
      </c>
      <c r="B176" s="66" t="s">
        <v>1229</v>
      </c>
      <c r="C176" s="67">
        <v>299</v>
      </c>
      <c r="D176" s="66" t="s">
        <v>1228</v>
      </c>
      <c r="E176" s="66" t="s">
        <v>513</v>
      </c>
      <c r="F176" s="66" t="s">
        <v>1227</v>
      </c>
      <c r="G176" s="66" t="s">
        <v>511</v>
      </c>
    </row>
    <row r="177" spans="1:7">
      <c r="A177" s="67">
        <v>1001</v>
      </c>
      <c r="B177" s="66" t="s">
        <v>1186</v>
      </c>
      <c r="C177" s="67">
        <v>999102</v>
      </c>
      <c r="D177" s="66" t="s">
        <v>92</v>
      </c>
      <c r="E177" s="66" t="s">
        <v>1222</v>
      </c>
      <c r="F177" s="66" t="s">
        <v>513</v>
      </c>
      <c r="G177" s="66" t="s">
        <v>1183</v>
      </c>
    </row>
    <row r="178" spans="1:7">
      <c r="A178" s="67">
        <v>1001</v>
      </c>
      <c r="B178" s="66" t="s">
        <v>1221</v>
      </c>
      <c r="C178" s="67">
        <v>10031</v>
      </c>
      <c r="D178" s="66" t="s">
        <v>1195</v>
      </c>
      <c r="E178" s="66" t="s">
        <v>1220</v>
      </c>
      <c r="F178" s="66" t="s">
        <v>513</v>
      </c>
      <c r="G178" s="66" t="s">
        <v>517</v>
      </c>
    </row>
    <row r="179" spans="1:7">
      <c r="A179" s="67">
        <v>1001</v>
      </c>
      <c r="B179" s="66" t="s">
        <v>1219</v>
      </c>
      <c r="C179" s="67">
        <v>10028</v>
      </c>
      <c r="D179" s="66" t="s">
        <v>1181</v>
      </c>
      <c r="E179" s="66" t="s">
        <v>1218</v>
      </c>
      <c r="F179" s="66" t="s">
        <v>513</v>
      </c>
      <c r="G179" s="66" t="s">
        <v>517</v>
      </c>
    </row>
    <row r="180" spans="1:7">
      <c r="A180" s="67">
        <v>1001</v>
      </c>
      <c r="B180" s="66" t="s">
        <v>1217</v>
      </c>
      <c r="C180" s="67">
        <v>10027</v>
      </c>
      <c r="D180" s="66" t="s">
        <v>1181</v>
      </c>
      <c r="E180" s="66" t="s">
        <v>1216</v>
      </c>
      <c r="F180" s="66" t="s">
        <v>513</v>
      </c>
      <c r="G180" s="66" t="s">
        <v>517</v>
      </c>
    </row>
    <row r="181" spans="1:7">
      <c r="A181" s="67">
        <v>1001</v>
      </c>
      <c r="B181" s="66" t="s">
        <v>1215</v>
      </c>
      <c r="C181" s="67">
        <v>10026</v>
      </c>
      <c r="D181" s="66" t="s">
        <v>1181</v>
      </c>
      <c r="E181" s="66" t="s">
        <v>1214</v>
      </c>
      <c r="F181" s="66" t="s">
        <v>513</v>
      </c>
      <c r="G181" s="66" t="s">
        <v>517</v>
      </c>
    </row>
    <row r="182" spans="1:7">
      <c r="A182" s="67">
        <v>1001</v>
      </c>
      <c r="B182" s="66" t="s">
        <v>1213</v>
      </c>
      <c r="C182" s="67">
        <v>10025</v>
      </c>
      <c r="D182" s="66" t="s">
        <v>1181</v>
      </c>
      <c r="E182" s="66" t="s">
        <v>1212</v>
      </c>
      <c r="F182" s="66" t="s">
        <v>513</v>
      </c>
      <c r="G182" s="66" t="s">
        <v>517</v>
      </c>
    </row>
    <row r="183" spans="1:7">
      <c r="A183" s="67">
        <v>1001</v>
      </c>
      <c r="B183" s="66" t="s">
        <v>1211</v>
      </c>
      <c r="C183" s="67">
        <v>10024</v>
      </c>
      <c r="D183" s="66" t="s">
        <v>1181</v>
      </c>
      <c r="E183" s="66" t="s">
        <v>1210</v>
      </c>
      <c r="F183" s="66" t="s">
        <v>513</v>
      </c>
      <c r="G183" s="66" t="s">
        <v>517</v>
      </c>
    </row>
    <row r="184" spans="1:7">
      <c r="A184" s="67">
        <v>1001</v>
      </c>
      <c r="B184" s="66" t="s">
        <v>1209</v>
      </c>
      <c r="C184" s="67">
        <v>10023</v>
      </c>
      <c r="D184" s="66" t="s">
        <v>1181</v>
      </c>
      <c r="E184" s="66" t="s">
        <v>1208</v>
      </c>
      <c r="F184" s="66" t="s">
        <v>513</v>
      </c>
      <c r="G184" s="66" t="s">
        <v>517</v>
      </c>
    </row>
    <row r="185" spans="1:7">
      <c r="A185" s="67">
        <v>1001</v>
      </c>
      <c r="B185" s="66" t="s">
        <v>1207</v>
      </c>
      <c r="C185" s="67">
        <v>10022</v>
      </c>
      <c r="D185" s="66" t="s">
        <v>1181</v>
      </c>
      <c r="E185" s="66" t="s">
        <v>1206</v>
      </c>
      <c r="F185" s="66" t="s">
        <v>513</v>
      </c>
      <c r="G185" s="66" t="s">
        <v>517</v>
      </c>
    </row>
    <row r="186" spans="1:7">
      <c r="A186" s="67">
        <v>1001</v>
      </c>
      <c r="B186" s="66" t="s">
        <v>1205</v>
      </c>
      <c r="C186" s="67">
        <v>420</v>
      </c>
      <c r="D186" s="66" t="s">
        <v>1204</v>
      </c>
      <c r="E186" s="66" t="s">
        <v>513</v>
      </c>
      <c r="F186" s="66" t="s">
        <v>1203</v>
      </c>
      <c r="G186" s="66" t="s">
        <v>511</v>
      </c>
    </row>
    <row r="187" spans="1:7">
      <c r="A187" s="67">
        <v>1001</v>
      </c>
      <c r="B187" s="66" t="s">
        <v>1202</v>
      </c>
      <c r="C187" s="67">
        <v>421</v>
      </c>
      <c r="D187" s="66" t="s">
        <v>1201</v>
      </c>
      <c r="E187" s="66" t="s">
        <v>513</v>
      </c>
      <c r="F187" s="66" t="s">
        <v>1200</v>
      </c>
      <c r="G187" s="66" t="s">
        <v>511</v>
      </c>
    </row>
    <row r="188" spans="1:7">
      <c r="A188" s="67">
        <v>1001</v>
      </c>
      <c r="B188" s="66" t="s">
        <v>1199</v>
      </c>
      <c r="C188" s="67">
        <v>363</v>
      </c>
      <c r="D188" s="66" t="s">
        <v>1198</v>
      </c>
      <c r="E188" s="66" t="s">
        <v>1197</v>
      </c>
      <c r="F188" s="66" t="s">
        <v>513</v>
      </c>
      <c r="G188" s="66" t="s">
        <v>511</v>
      </c>
    </row>
    <row r="189" spans="1:7">
      <c r="A189" s="67">
        <v>1001</v>
      </c>
      <c r="B189" s="66" t="s">
        <v>1196</v>
      </c>
      <c r="C189" s="67">
        <v>10030</v>
      </c>
      <c r="D189" s="66" t="s">
        <v>1195</v>
      </c>
      <c r="E189" s="66" t="s">
        <v>1194</v>
      </c>
      <c r="F189" s="66" t="s">
        <v>513</v>
      </c>
      <c r="G189" s="66" t="s">
        <v>517</v>
      </c>
    </row>
    <row r="190" spans="1:7">
      <c r="A190" s="67">
        <v>1001</v>
      </c>
      <c r="B190" s="66" t="s">
        <v>1193</v>
      </c>
      <c r="C190" s="67">
        <v>10020</v>
      </c>
      <c r="D190" s="66" t="s">
        <v>1181</v>
      </c>
      <c r="E190" s="66" t="s">
        <v>1192</v>
      </c>
      <c r="F190" s="66" t="s">
        <v>513</v>
      </c>
      <c r="G190" s="66" t="s">
        <v>517</v>
      </c>
    </row>
    <row r="191" spans="1:7">
      <c r="A191" s="67">
        <v>1001</v>
      </c>
      <c r="B191" s="66" t="s">
        <v>1191</v>
      </c>
      <c r="C191" s="67">
        <v>10032</v>
      </c>
      <c r="D191" s="66" t="s">
        <v>1188</v>
      </c>
      <c r="E191" s="66" t="s">
        <v>1190</v>
      </c>
      <c r="F191" s="66" t="s">
        <v>513</v>
      </c>
      <c r="G191" s="66" t="s">
        <v>517</v>
      </c>
    </row>
    <row r="192" spans="1:7">
      <c r="A192" s="67">
        <v>1001</v>
      </c>
      <c r="B192" s="66" t="s">
        <v>1189</v>
      </c>
      <c r="C192" s="67">
        <v>10033</v>
      </c>
      <c r="D192" s="66" t="s">
        <v>1188</v>
      </c>
      <c r="E192" s="66" t="s">
        <v>1187</v>
      </c>
      <c r="F192" s="66" t="s">
        <v>513</v>
      </c>
      <c r="G192" s="66" t="s">
        <v>517</v>
      </c>
    </row>
    <row r="193" spans="1:7">
      <c r="A193" s="67">
        <v>1001</v>
      </c>
      <c r="B193" s="66" t="s">
        <v>1186</v>
      </c>
      <c r="C193" s="67">
        <v>10035</v>
      </c>
      <c r="D193" s="66" t="s">
        <v>1185</v>
      </c>
      <c r="E193" s="66" t="s">
        <v>1184</v>
      </c>
      <c r="F193" s="66" t="s">
        <v>513</v>
      </c>
      <c r="G193" s="66" t="s">
        <v>1183</v>
      </c>
    </row>
    <row r="194" spans="1:7">
      <c r="A194" s="67">
        <v>1001</v>
      </c>
      <c r="B194" s="66" t="s">
        <v>1182</v>
      </c>
      <c r="C194" s="67">
        <v>10021</v>
      </c>
      <c r="D194" s="66" t="s">
        <v>1181</v>
      </c>
      <c r="E194" s="66" t="s">
        <v>1180</v>
      </c>
      <c r="F194" s="66" t="s">
        <v>513</v>
      </c>
      <c r="G194" s="66" t="s">
        <v>517</v>
      </c>
    </row>
    <row r="195" spans="1:7">
      <c r="A195" s="67">
        <v>5003</v>
      </c>
      <c r="B195" s="66" t="s">
        <v>1164</v>
      </c>
      <c r="C195" s="67">
        <v>10330</v>
      </c>
      <c r="D195" s="66" t="s">
        <v>505</v>
      </c>
      <c r="E195" s="66" t="s">
        <v>1163</v>
      </c>
      <c r="F195" s="66" t="s">
        <v>513</v>
      </c>
      <c r="G195" s="66" t="s">
        <v>611</v>
      </c>
    </row>
    <row r="196" spans="1:7">
      <c r="A196" s="67">
        <v>5003</v>
      </c>
      <c r="B196" s="66" t="s">
        <v>1162</v>
      </c>
      <c r="C196" s="67">
        <v>10331</v>
      </c>
      <c r="D196" s="66" t="s">
        <v>505</v>
      </c>
      <c r="E196" s="66" t="s">
        <v>1161</v>
      </c>
      <c r="F196" s="66" t="s">
        <v>513</v>
      </c>
      <c r="G196" s="66" t="s">
        <v>611</v>
      </c>
    </row>
    <row r="197" spans="1:7">
      <c r="A197" s="67">
        <v>5003</v>
      </c>
      <c r="B197" s="66" t="s">
        <v>1160</v>
      </c>
      <c r="C197" s="67">
        <v>10332</v>
      </c>
      <c r="D197" s="66" t="s">
        <v>505</v>
      </c>
      <c r="E197" s="66" t="s">
        <v>1159</v>
      </c>
      <c r="F197" s="66" t="s">
        <v>513</v>
      </c>
      <c r="G197" s="66" t="s">
        <v>611</v>
      </c>
    </row>
    <row r="198" spans="1:7">
      <c r="A198" s="67">
        <v>5003</v>
      </c>
      <c r="B198" s="66" t="s">
        <v>170</v>
      </c>
      <c r="C198" s="67">
        <v>6015</v>
      </c>
      <c r="D198" s="66" t="s">
        <v>1154</v>
      </c>
      <c r="E198" s="66" t="s">
        <v>1158</v>
      </c>
      <c r="F198" s="66" t="s">
        <v>513</v>
      </c>
      <c r="G198" s="66" t="s">
        <v>847</v>
      </c>
    </row>
    <row r="199" spans="1:7">
      <c r="A199" s="67">
        <v>5003</v>
      </c>
      <c r="B199" s="66" t="s">
        <v>172</v>
      </c>
      <c r="C199" s="67">
        <v>6016</v>
      </c>
      <c r="D199" s="66" t="s">
        <v>1156</v>
      </c>
      <c r="E199" s="66" t="s">
        <v>880</v>
      </c>
      <c r="F199" s="66" t="s">
        <v>513</v>
      </c>
      <c r="G199" s="66" t="s">
        <v>847</v>
      </c>
    </row>
    <row r="200" spans="1:7">
      <c r="A200" s="67">
        <v>5003</v>
      </c>
      <c r="B200" s="66" t="s">
        <v>174</v>
      </c>
      <c r="C200" s="67">
        <v>6017</v>
      </c>
      <c r="D200" s="66" t="s">
        <v>1154</v>
      </c>
      <c r="E200" s="66" t="s">
        <v>1157</v>
      </c>
      <c r="F200" s="66" t="s">
        <v>513</v>
      </c>
      <c r="G200" s="66" t="s">
        <v>847</v>
      </c>
    </row>
    <row r="201" spans="1:7">
      <c r="A201" s="67">
        <v>5003</v>
      </c>
      <c r="B201" s="66" t="s">
        <v>176</v>
      </c>
      <c r="C201" s="67">
        <v>6065</v>
      </c>
      <c r="D201" s="66" t="s">
        <v>1156</v>
      </c>
      <c r="E201" s="66" t="s">
        <v>882</v>
      </c>
      <c r="F201" s="66" t="s">
        <v>513</v>
      </c>
      <c r="G201" s="66" t="s">
        <v>847</v>
      </c>
    </row>
    <row r="202" spans="1:7">
      <c r="A202" s="67">
        <v>5003</v>
      </c>
      <c r="B202" s="66" t="s">
        <v>178</v>
      </c>
      <c r="C202" s="67">
        <v>6066</v>
      </c>
      <c r="D202" s="66" t="s">
        <v>1154</v>
      </c>
      <c r="E202" s="66" t="s">
        <v>1155</v>
      </c>
      <c r="F202" s="66" t="s">
        <v>513</v>
      </c>
      <c r="G202" s="66" t="s">
        <v>847</v>
      </c>
    </row>
    <row r="203" spans="1:7">
      <c r="A203" s="67">
        <v>5003</v>
      </c>
      <c r="B203" s="66" t="s">
        <v>180</v>
      </c>
      <c r="C203" s="67">
        <v>6067</v>
      </c>
      <c r="D203" s="66" t="s">
        <v>1154</v>
      </c>
      <c r="E203" s="66" t="s">
        <v>1153</v>
      </c>
      <c r="F203" s="66" t="s">
        <v>513</v>
      </c>
      <c r="G203" s="66" t="s">
        <v>847</v>
      </c>
    </row>
    <row r="204" spans="1:7">
      <c r="A204" s="67">
        <v>5003</v>
      </c>
      <c r="B204" s="66" t="s">
        <v>1152</v>
      </c>
      <c r="C204" s="67">
        <v>10301</v>
      </c>
      <c r="D204" s="66" t="s">
        <v>505</v>
      </c>
      <c r="E204" s="66" t="s">
        <v>1151</v>
      </c>
      <c r="F204" s="66" t="s">
        <v>513</v>
      </c>
      <c r="G204" s="66" t="s">
        <v>611</v>
      </c>
    </row>
    <row r="205" spans="1:7">
      <c r="A205" s="67">
        <v>5003</v>
      </c>
      <c r="B205" s="66" t="s">
        <v>1150</v>
      </c>
      <c r="C205" s="67">
        <v>10302</v>
      </c>
      <c r="D205" s="66" t="s">
        <v>505</v>
      </c>
      <c r="E205" s="66" t="s">
        <v>1108</v>
      </c>
      <c r="F205" s="66" t="s">
        <v>513</v>
      </c>
      <c r="G205" s="66" t="s">
        <v>611</v>
      </c>
    </row>
    <row r="206" spans="1:7">
      <c r="A206" s="67">
        <v>5003</v>
      </c>
      <c r="B206" s="66" t="s">
        <v>1149</v>
      </c>
      <c r="C206" s="67">
        <v>10303</v>
      </c>
      <c r="D206" s="66" t="s">
        <v>505</v>
      </c>
      <c r="E206" s="66" t="s">
        <v>1148</v>
      </c>
      <c r="F206" s="66" t="s">
        <v>513</v>
      </c>
      <c r="G206" s="66" t="s">
        <v>611</v>
      </c>
    </row>
    <row r="207" spans="1:7">
      <c r="A207" s="67">
        <v>5003</v>
      </c>
      <c r="B207" s="66" t="s">
        <v>1147</v>
      </c>
      <c r="C207" s="67">
        <v>10304</v>
      </c>
      <c r="D207" s="66" t="s">
        <v>505</v>
      </c>
      <c r="E207" s="66" t="s">
        <v>1146</v>
      </c>
      <c r="F207" s="66" t="s">
        <v>513</v>
      </c>
      <c r="G207" s="66" t="s">
        <v>611</v>
      </c>
    </row>
    <row r="208" spans="1:7">
      <c r="A208" s="67">
        <v>5003</v>
      </c>
      <c r="B208" s="66" t="s">
        <v>1145</v>
      </c>
      <c r="C208" s="67">
        <v>10305</v>
      </c>
      <c r="D208" s="66" t="s">
        <v>505</v>
      </c>
      <c r="E208" s="66" t="s">
        <v>1144</v>
      </c>
      <c r="F208" s="66" t="s">
        <v>513</v>
      </c>
      <c r="G208" s="66" t="s">
        <v>611</v>
      </c>
    </row>
    <row r="209" spans="1:7">
      <c r="A209" s="67">
        <v>5003</v>
      </c>
      <c r="B209" s="66" t="s">
        <v>1143</v>
      </c>
      <c r="C209" s="67">
        <v>10306</v>
      </c>
      <c r="D209" s="66" t="s">
        <v>505</v>
      </c>
      <c r="E209" s="66" t="s">
        <v>1142</v>
      </c>
      <c r="F209" s="66" t="s">
        <v>513</v>
      </c>
      <c r="G209" s="66" t="s">
        <v>611</v>
      </c>
    </row>
    <row r="210" spans="1:7">
      <c r="A210" s="67">
        <v>5003</v>
      </c>
      <c r="B210" s="66" t="s">
        <v>1136</v>
      </c>
      <c r="C210" s="67">
        <v>10307</v>
      </c>
      <c r="D210" s="66" t="s">
        <v>505</v>
      </c>
      <c r="E210" s="66" t="s">
        <v>1137</v>
      </c>
      <c r="F210" s="66" t="s">
        <v>513</v>
      </c>
      <c r="G210" s="66" t="s">
        <v>611</v>
      </c>
    </row>
    <row r="211" spans="1:7">
      <c r="A211" s="67">
        <v>5003</v>
      </c>
      <c r="B211" s="66" t="s">
        <v>1136</v>
      </c>
      <c r="C211" s="67">
        <v>10308</v>
      </c>
      <c r="D211" s="66" t="s">
        <v>505</v>
      </c>
      <c r="E211" s="66" t="s">
        <v>1135</v>
      </c>
      <c r="F211" s="66" t="s">
        <v>513</v>
      </c>
      <c r="G211" s="66" t="s">
        <v>611</v>
      </c>
    </row>
    <row r="212" spans="1:7">
      <c r="A212" s="67">
        <v>5003</v>
      </c>
      <c r="B212" s="66" t="s">
        <v>122</v>
      </c>
      <c r="C212" s="67">
        <v>10309</v>
      </c>
      <c r="D212" s="66" t="s">
        <v>505</v>
      </c>
      <c r="E212" s="66" t="s">
        <v>1131</v>
      </c>
      <c r="F212" s="66" t="s">
        <v>513</v>
      </c>
      <c r="G212" s="66" t="s">
        <v>611</v>
      </c>
    </row>
    <row r="213" spans="1:7">
      <c r="A213" s="67">
        <v>5003</v>
      </c>
      <c r="B213" s="66" t="s">
        <v>123</v>
      </c>
      <c r="C213" s="67">
        <v>10310</v>
      </c>
      <c r="D213" s="66" t="s">
        <v>505</v>
      </c>
      <c r="E213" s="66" t="s">
        <v>1130</v>
      </c>
      <c r="F213" s="66" t="s">
        <v>513</v>
      </c>
      <c r="G213" s="66" t="s">
        <v>611</v>
      </c>
    </row>
    <row r="214" spans="1:7">
      <c r="A214" s="67">
        <v>5003</v>
      </c>
      <c r="B214" s="66" t="s">
        <v>124</v>
      </c>
      <c r="C214" s="67">
        <v>10311</v>
      </c>
      <c r="D214" s="66" t="s">
        <v>505</v>
      </c>
      <c r="E214" s="66" t="s">
        <v>1129</v>
      </c>
      <c r="F214" s="66" t="s">
        <v>513</v>
      </c>
      <c r="G214" s="66" t="s">
        <v>611</v>
      </c>
    </row>
    <row r="215" spans="1:7">
      <c r="A215" s="67">
        <v>5003</v>
      </c>
      <c r="B215" s="66" t="s">
        <v>1128</v>
      </c>
      <c r="C215" s="67">
        <v>10312</v>
      </c>
      <c r="D215" s="66" t="s">
        <v>505</v>
      </c>
      <c r="E215" s="66" t="s">
        <v>1127</v>
      </c>
      <c r="F215" s="66" t="s">
        <v>513</v>
      </c>
      <c r="G215" s="66" t="s">
        <v>611</v>
      </c>
    </row>
    <row r="216" spans="1:7">
      <c r="A216" s="67">
        <v>5003</v>
      </c>
      <c r="B216" s="66" t="s">
        <v>1126</v>
      </c>
      <c r="C216" s="67">
        <v>10313</v>
      </c>
      <c r="D216" s="66" t="s">
        <v>505</v>
      </c>
      <c r="E216" s="66" t="s">
        <v>1125</v>
      </c>
      <c r="F216" s="66" t="s">
        <v>513</v>
      </c>
      <c r="G216" s="66" t="s">
        <v>611</v>
      </c>
    </row>
    <row r="217" spans="1:7">
      <c r="A217" s="67">
        <v>5003</v>
      </c>
      <c r="B217" s="66" t="s">
        <v>1124</v>
      </c>
      <c r="C217" s="67">
        <v>10314</v>
      </c>
      <c r="D217" s="66" t="s">
        <v>505</v>
      </c>
      <c r="E217" s="66" t="s">
        <v>1123</v>
      </c>
      <c r="F217" s="66" t="s">
        <v>513</v>
      </c>
      <c r="G217" s="66" t="s">
        <v>611</v>
      </c>
    </row>
    <row r="218" spans="1:7">
      <c r="A218" s="67">
        <v>5004</v>
      </c>
      <c r="B218" s="66" t="s">
        <v>107</v>
      </c>
      <c r="C218" s="67">
        <v>10403</v>
      </c>
      <c r="D218" s="66" t="s">
        <v>101</v>
      </c>
      <c r="E218" s="66" t="s">
        <v>1120</v>
      </c>
      <c r="F218" s="66" t="s">
        <v>513</v>
      </c>
      <c r="G218" s="66" t="s">
        <v>611</v>
      </c>
    </row>
    <row r="219" spans="1:7">
      <c r="A219" s="67">
        <v>5004</v>
      </c>
      <c r="B219" s="66" t="s">
        <v>107</v>
      </c>
      <c r="C219" s="67">
        <v>10404</v>
      </c>
      <c r="D219" s="66" t="s">
        <v>101</v>
      </c>
      <c r="E219" s="66" t="s">
        <v>1112</v>
      </c>
      <c r="F219" s="66" t="s">
        <v>513</v>
      </c>
      <c r="G219" s="66" t="s">
        <v>611</v>
      </c>
    </row>
    <row r="220" spans="1:7">
      <c r="A220" s="67">
        <v>5004</v>
      </c>
      <c r="B220" s="66" t="s">
        <v>1111</v>
      </c>
      <c r="C220" s="67">
        <v>10412</v>
      </c>
      <c r="D220" s="66" t="s">
        <v>897</v>
      </c>
      <c r="E220" s="66" t="s">
        <v>1110</v>
      </c>
      <c r="F220" s="66" t="s">
        <v>513</v>
      </c>
      <c r="G220" s="66" t="s">
        <v>611</v>
      </c>
    </row>
    <row r="221" spans="1:7">
      <c r="A221" s="67">
        <v>5004</v>
      </c>
      <c r="B221" s="66" t="s">
        <v>1111</v>
      </c>
      <c r="C221" s="67">
        <v>10411</v>
      </c>
      <c r="D221" s="66" t="s">
        <v>505</v>
      </c>
      <c r="E221" s="66" t="s">
        <v>1110</v>
      </c>
      <c r="F221" s="66" t="s">
        <v>513</v>
      </c>
      <c r="G221" s="66" t="s">
        <v>611</v>
      </c>
    </row>
    <row r="222" spans="1:7">
      <c r="A222" s="67">
        <v>5005</v>
      </c>
      <c r="B222" s="66" t="s">
        <v>66</v>
      </c>
      <c r="C222" s="67">
        <v>6023</v>
      </c>
      <c r="D222" s="66" t="s">
        <v>1109</v>
      </c>
      <c r="E222" s="66" t="s">
        <v>873</v>
      </c>
      <c r="F222" s="66" t="s">
        <v>513</v>
      </c>
      <c r="G222" s="66" t="s">
        <v>847</v>
      </c>
    </row>
    <row r="223" spans="1:7">
      <c r="A223" s="67">
        <v>5005</v>
      </c>
      <c r="B223" s="66" t="s">
        <v>67</v>
      </c>
      <c r="C223" s="67">
        <v>6024</v>
      </c>
      <c r="D223" s="66" t="s">
        <v>1109</v>
      </c>
      <c r="E223" s="66" t="s">
        <v>871</v>
      </c>
      <c r="F223" s="66" t="s">
        <v>513</v>
      </c>
      <c r="G223" s="66" t="s">
        <v>847</v>
      </c>
    </row>
    <row r="224" spans="1:7">
      <c r="A224" s="67">
        <v>5005</v>
      </c>
      <c r="B224" s="66" t="s">
        <v>1099</v>
      </c>
      <c r="C224" s="67">
        <v>10512</v>
      </c>
      <c r="D224" s="66" t="s">
        <v>1098</v>
      </c>
      <c r="E224" s="66" t="s">
        <v>1108</v>
      </c>
      <c r="F224" s="66" t="s">
        <v>513</v>
      </c>
      <c r="G224" s="66" t="s">
        <v>611</v>
      </c>
    </row>
    <row r="225" spans="1:7">
      <c r="A225" s="67">
        <v>5005</v>
      </c>
      <c r="B225" s="66" t="s">
        <v>1107</v>
      </c>
      <c r="C225" s="67">
        <v>10501</v>
      </c>
      <c r="D225" s="66" t="s">
        <v>897</v>
      </c>
      <c r="E225" s="66" t="s">
        <v>1106</v>
      </c>
      <c r="F225" s="66" t="s">
        <v>513</v>
      </c>
      <c r="G225" s="66" t="s">
        <v>611</v>
      </c>
    </row>
    <row r="226" spans="1:7">
      <c r="A226" s="67">
        <v>5005</v>
      </c>
      <c r="B226" s="66" t="s">
        <v>1105</v>
      </c>
      <c r="C226" s="67">
        <v>10502</v>
      </c>
      <c r="D226" s="66" t="s">
        <v>897</v>
      </c>
      <c r="E226" s="66" t="s">
        <v>1104</v>
      </c>
      <c r="F226" s="66" t="s">
        <v>513</v>
      </c>
      <c r="G226" s="66" t="s">
        <v>611</v>
      </c>
    </row>
    <row r="227" spans="1:7">
      <c r="A227" s="67">
        <v>5005</v>
      </c>
      <c r="B227" s="66" t="s">
        <v>1103</v>
      </c>
      <c r="C227" s="67">
        <v>10503</v>
      </c>
      <c r="D227" s="66" t="s">
        <v>142</v>
      </c>
      <c r="E227" s="66" t="s">
        <v>1102</v>
      </c>
      <c r="F227" s="66" t="s">
        <v>513</v>
      </c>
      <c r="G227" s="66" t="s">
        <v>611</v>
      </c>
    </row>
    <row r="228" spans="1:7">
      <c r="A228" s="67">
        <v>5005</v>
      </c>
      <c r="B228" s="66" t="s">
        <v>1101</v>
      </c>
      <c r="C228" s="67">
        <v>10504</v>
      </c>
      <c r="D228" s="66" t="s">
        <v>142</v>
      </c>
      <c r="E228" s="66" t="s">
        <v>1100</v>
      </c>
      <c r="F228" s="66" t="s">
        <v>513</v>
      </c>
      <c r="G228" s="66" t="s">
        <v>611</v>
      </c>
    </row>
    <row r="229" spans="1:7">
      <c r="A229" s="67">
        <v>5005</v>
      </c>
      <c r="B229" s="66" t="s">
        <v>1099</v>
      </c>
      <c r="C229" s="67">
        <v>10511</v>
      </c>
      <c r="D229" s="66" t="s">
        <v>1098</v>
      </c>
      <c r="E229" s="66" t="s">
        <v>1097</v>
      </c>
      <c r="F229" s="66" t="s">
        <v>513</v>
      </c>
      <c r="G229" s="66" t="s">
        <v>611</v>
      </c>
    </row>
    <row r="230" spans="1:7">
      <c r="A230" s="67">
        <v>5006</v>
      </c>
      <c r="B230" s="66" t="s">
        <v>1096</v>
      </c>
      <c r="C230" s="67">
        <v>10614</v>
      </c>
      <c r="D230" s="66" t="s">
        <v>505</v>
      </c>
      <c r="E230" s="66" t="s">
        <v>1087</v>
      </c>
      <c r="F230" s="66" t="s">
        <v>513</v>
      </c>
      <c r="G230" s="66" t="s">
        <v>611</v>
      </c>
    </row>
    <row r="231" spans="1:7">
      <c r="A231" s="67">
        <v>5006</v>
      </c>
      <c r="B231" s="66" t="s">
        <v>1095</v>
      </c>
      <c r="C231" s="67">
        <v>10613</v>
      </c>
      <c r="D231" s="66" t="s">
        <v>505</v>
      </c>
      <c r="E231" s="66" t="s">
        <v>1085</v>
      </c>
      <c r="F231" s="66" t="s">
        <v>513</v>
      </c>
      <c r="G231" s="66" t="s">
        <v>611</v>
      </c>
    </row>
    <row r="232" spans="1:7">
      <c r="A232" s="67">
        <v>5006</v>
      </c>
      <c r="B232" s="66" t="s">
        <v>1094</v>
      </c>
      <c r="C232" s="67">
        <v>10612</v>
      </c>
      <c r="D232" s="66" t="s">
        <v>505</v>
      </c>
      <c r="E232" s="66" t="s">
        <v>1081</v>
      </c>
      <c r="F232" s="66" t="s">
        <v>513</v>
      </c>
      <c r="G232" s="66" t="s">
        <v>611</v>
      </c>
    </row>
    <row r="233" spans="1:7">
      <c r="A233" s="67">
        <v>5006</v>
      </c>
      <c r="B233" s="66" t="s">
        <v>1093</v>
      </c>
      <c r="C233" s="67">
        <v>10611</v>
      </c>
      <c r="D233" s="66" t="s">
        <v>505</v>
      </c>
      <c r="E233" s="66" t="s">
        <v>1083</v>
      </c>
      <c r="F233" s="66" t="s">
        <v>513</v>
      </c>
      <c r="G233" s="66" t="s">
        <v>611</v>
      </c>
    </row>
    <row r="234" spans="1:7">
      <c r="A234" s="67">
        <v>5006</v>
      </c>
      <c r="B234" s="66" t="s">
        <v>1092</v>
      </c>
      <c r="C234" s="67">
        <v>10606</v>
      </c>
      <c r="D234" s="66" t="s">
        <v>168</v>
      </c>
      <c r="E234" s="66" t="s">
        <v>1091</v>
      </c>
      <c r="F234" s="66" t="s">
        <v>513</v>
      </c>
      <c r="G234" s="66" t="s">
        <v>611</v>
      </c>
    </row>
    <row r="235" spans="1:7">
      <c r="A235" s="67">
        <v>5006</v>
      </c>
      <c r="B235" s="66" t="s">
        <v>1090</v>
      </c>
      <c r="C235" s="67">
        <v>10605</v>
      </c>
      <c r="D235" s="66" t="s">
        <v>168</v>
      </c>
      <c r="E235" s="66" t="s">
        <v>1089</v>
      </c>
      <c r="F235" s="66" t="s">
        <v>513</v>
      </c>
      <c r="G235" s="66" t="s">
        <v>611</v>
      </c>
    </row>
    <row r="236" spans="1:7">
      <c r="A236" s="67">
        <v>5006</v>
      </c>
      <c r="B236" s="66" t="s">
        <v>1088</v>
      </c>
      <c r="C236" s="67">
        <v>10604</v>
      </c>
      <c r="D236" s="66" t="s">
        <v>168</v>
      </c>
      <c r="E236" s="66" t="s">
        <v>1087</v>
      </c>
      <c r="F236" s="66" t="s">
        <v>513</v>
      </c>
      <c r="G236" s="66" t="s">
        <v>611</v>
      </c>
    </row>
    <row r="237" spans="1:7">
      <c r="A237" s="67">
        <v>5006</v>
      </c>
      <c r="B237" s="66" t="s">
        <v>1086</v>
      </c>
      <c r="C237" s="67">
        <v>10603</v>
      </c>
      <c r="D237" s="66" t="s">
        <v>168</v>
      </c>
      <c r="E237" s="66" t="s">
        <v>1085</v>
      </c>
      <c r="F237" s="66" t="s">
        <v>513</v>
      </c>
      <c r="G237" s="66" t="s">
        <v>611</v>
      </c>
    </row>
    <row r="238" spans="1:7">
      <c r="A238" s="67">
        <v>5006</v>
      </c>
      <c r="B238" s="66" t="s">
        <v>1084</v>
      </c>
      <c r="C238" s="67">
        <v>10601</v>
      </c>
      <c r="D238" s="66" t="s">
        <v>168</v>
      </c>
      <c r="E238" s="66" t="s">
        <v>1083</v>
      </c>
      <c r="F238" s="66" t="s">
        <v>513</v>
      </c>
      <c r="G238" s="66" t="s">
        <v>611</v>
      </c>
    </row>
    <row r="239" spans="1:7">
      <c r="A239" s="67">
        <v>5006</v>
      </c>
      <c r="B239" s="66" t="s">
        <v>1082</v>
      </c>
      <c r="C239" s="67">
        <v>10602</v>
      </c>
      <c r="D239" s="66" t="s">
        <v>168</v>
      </c>
      <c r="E239" s="66" t="s">
        <v>1081</v>
      </c>
      <c r="F239" s="66" t="s">
        <v>513</v>
      </c>
      <c r="G239" s="66" t="s">
        <v>611</v>
      </c>
    </row>
    <row r="240" spans="1:7">
      <c r="A240" s="67">
        <v>5006</v>
      </c>
      <c r="B240" s="66" t="s">
        <v>1080</v>
      </c>
      <c r="C240" s="67">
        <v>6028</v>
      </c>
      <c r="D240" s="66" t="s">
        <v>1078</v>
      </c>
      <c r="E240" s="66" t="s">
        <v>869</v>
      </c>
      <c r="F240" s="66" t="s">
        <v>513</v>
      </c>
      <c r="G240" s="66" t="s">
        <v>847</v>
      </c>
    </row>
    <row r="241" spans="1:7">
      <c r="A241" s="67">
        <v>5006</v>
      </c>
      <c r="B241" s="66" t="s">
        <v>1079</v>
      </c>
      <c r="C241" s="67">
        <v>6027</v>
      </c>
      <c r="D241" s="66" t="s">
        <v>1078</v>
      </c>
      <c r="E241" s="66" t="s">
        <v>867</v>
      </c>
      <c r="F241" s="66" t="s">
        <v>513</v>
      </c>
      <c r="G241" s="66" t="s">
        <v>847</v>
      </c>
    </row>
    <row r="242" spans="1:7">
      <c r="A242" s="67">
        <v>5007</v>
      </c>
      <c r="B242" s="66" t="s">
        <v>1071</v>
      </c>
      <c r="C242" s="67">
        <v>6032</v>
      </c>
      <c r="D242" s="66" t="s">
        <v>1069</v>
      </c>
      <c r="E242" s="66" t="s">
        <v>865</v>
      </c>
      <c r="F242" s="66" t="s">
        <v>513</v>
      </c>
      <c r="G242" s="66" t="s">
        <v>847</v>
      </c>
    </row>
    <row r="243" spans="1:7">
      <c r="A243" s="67">
        <v>5007</v>
      </c>
      <c r="B243" s="66" t="s">
        <v>1070</v>
      </c>
      <c r="C243" s="67">
        <v>6031</v>
      </c>
      <c r="D243" s="66" t="s">
        <v>1069</v>
      </c>
      <c r="E243" s="66" t="s">
        <v>863</v>
      </c>
      <c r="F243" s="66" t="s">
        <v>513</v>
      </c>
      <c r="G243" s="66" t="s">
        <v>847</v>
      </c>
    </row>
    <row r="244" spans="1:7">
      <c r="A244" s="67">
        <v>5007</v>
      </c>
      <c r="B244" s="66" t="s">
        <v>1067</v>
      </c>
      <c r="C244" s="67">
        <v>10792</v>
      </c>
      <c r="D244" s="66" t="s">
        <v>505</v>
      </c>
      <c r="E244" s="66" t="s">
        <v>1068</v>
      </c>
      <c r="F244" s="66" t="s">
        <v>513</v>
      </c>
      <c r="G244" s="66" t="s">
        <v>611</v>
      </c>
    </row>
    <row r="245" spans="1:7">
      <c r="A245" s="67">
        <v>5007</v>
      </c>
      <c r="B245" s="66" t="s">
        <v>1067</v>
      </c>
      <c r="C245" s="67">
        <v>10791</v>
      </c>
      <c r="D245" s="66" t="s">
        <v>505</v>
      </c>
      <c r="E245" s="66" t="s">
        <v>1066</v>
      </c>
      <c r="F245" s="66" t="s">
        <v>513</v>
      </c>
      <c r="G245" s="66" t="s">
        <v>611</v>
      </c>
    </row>
    <row r="246" spans="1:7">
      <c r="A246" s="67">
        <v>5007</v>
      </c>
      <c r="B246" s="66" t="s">
        <v>1064</v>
      </c>
      <c r="C246" s="67">
        <v>10782</v>
      </c>
      <c r="D246" s="66" t="s">
        <v>505</v>
      </c>
      <c r="E246" s="66" t="s">
        <v>1065</v>
      </c>
      <c r="F246" s="66" t="s">
        <v>513</v>
      </c>
      <c r="G246" s="66" t="s">
        <v>611</v>
      </c>
    </row>
    <row r="247" spans="1:7">
      <c r="A247" s="67">
        <v>5007</v>
      </c>
      <c r="B247" s="66" t="s">
        <v>1064</v>
      </c>
      <c r="C247" s="67">
        <v>10781</v>
      </c>
      <c r="D247" s="66" t="s">
        <v>505</v>
      </c>
      <c r="E247" s="66" t="s">
        <v>1063</v>
      </c>
      <c r="F247" s="66" t="s">
        <v>513</v>
      </c>
      <c r="G247" s="66" t="s">
        <v>611</v>
      </c>
    </row>
    <row r="248" spans="1:7">
      <c r="A248" s="67">
        <v>5008</v>
      </c>
      <c r="B248" s="66" t="s">
        <v>1048</v>
      </c>
      <c r="C248" s="67">
        <v>10801</v>
      </c>
      <c r="D248" s="66" t="s">
        <v>1047</v>
      </c>
      <c r="E248" s="66" t="s">
        <v>1053</v>
      </c>
      <c r="F248" s="66" t="s">
        <v>513</v>
      </c>
      <c r="G248" s="66" t="s">
        <v>611</v>
      </c>
    </row>
    <row r="249" spans="1:7">
      <c r="A249" s="67">
        <v>5008</v>
      </c>
      <c r="B249" s="66" t="s">
        <v>1051</v>
      </c>
      <c r="C249" s="67">
        <v>10803</v>
      </c>
      <c r="D249" s="66" t="s">
        <v>1047</v>
      </c>
      <c r="E249" s="66" t="s">
        <v>1052</v>
      </c>
      <c r="F249" s="66" t="s">
        <v>513</v>
      </c>
      <c r="G249" s="66" t="s">
        <v>611</v>
      </c>
    </row>
    <row r="250" spans="1:7">
      <c r="A250" s="67">
        <v>5008</v>
      </c>
      <c r="B250" s="66" t="s">
        <v>1051</v>
      </c>
      <c r="C250" s="67">
        <v>10804</v>
      </c>
      <c r="D250" s="66" t="s">
        <v>1047</v>
      </c>
      <c r="E250" s="66" t="s">
        <v>1050</v>
      </c>
      <c r="F250" s="66" t="s">
        <v>513</v>
      </c>
      <c r="G250" s="66" t="s">
        <v>611</v>
      </c>
    </row>
    <row r="251" spans="1:7">
      <c r="A251" s="67">
        <v>5008</v>
      </c>
      <c r="B251" s="66" t="s">
        <v>1045</v>
      </c>
      <c r="C251" s="67">
        <v>10805</v>
      </c>
      <c r="D251" s="66" t="s">
        <v>91</v>
      </c>
      <c r="E251" s="66" t="s">
        <v>1049</v>
      </c>
      <c r="F251" s="66" t="s">
        <v>513</v>
      </c>
      <c r="G251" s="66" t="s">
        <v>611</v>
      </c>
    </row>
    <row r="252" spans="1:7">
      <c r="A252" s="67">
        <v>5008</v>
      </c>
      <c r="B252" s="66" t="s">
        <v>1048</v>
      </c>
      <c r="C252" s="67">
        <v>10802</v>
      </c>
      <c r="D252" s="66" t="s">
        <v>1047</v>
      </c>
      <c r="E252" s="66" t="s">
        <v>1046</v>
      </c>
      <c r="F252" s="66" t="s">
        <v>513</v>
      </c>
      <c r="G252" s="66" t="s">
        <v>611</v>
      </c>
    </row>
    <row r="253" spans="1:7">
      <c r="A253" s="67">
        <v>5008</v>
      </c>
      <c r="B253" s="66" t="s">
        <v>1045</v>
      </c>
      <c r="C253" s="67">
        <v>10806</v>
      </c>
      <c r="D253" s="66" t="s">
        <v>91</v>
      </c>
      <c r="E253" s="66" t="s">
        <v>1044</v>
      </c>
      <c r="F253" s="66" t="s">
        <v>513</v>
      </c>
      <c r="G253" s="66" t="s">
        <v>611</v>
      </c>
    </row>
    <row r="254" spans="1:7">
      <c r="A254" s="67">
        <v>5008</v>
      </c>
      <c r="B254" s="66" t="s">
        <v>254</v>
      </c>
      <c r="C254" s="67">
        <v>6036</v>
      </c>
      <c r="D254" s="66" t="s">
        <v>1042</v>
      </c>
      <c r="E254" s="66" t="s">
        <v>1043</v>
      </c>
      <c r="F254" s="66" t="s">
        <v>513</v>
      </c>
      <c r="G254" s="66" t="s">
        <v>847</v>
      </c>
    </row>
    <row r="255" spans="1:7">
      <c r="A255" s="67">
        <v>5008</v>
      </c>
      <c r="B255" s="66" t="s">
        <v>253</v>
      </c>
      <c r="C255" s="67">
        <v>6035</v>
      </c>
      <c r="D255" s="66" t="s">
        <v>1042</v>
      </c>
      <c r="E255" s="66" t="s">
        <v>1041</v>
      </c>
      <c r="F255" s="66" t="s">
        <v>513</v>
      </c>
      <c r="G255" s="66" t="s">
        <v>847</v>
      </c>
    </row>
    <row r="256" spans="1:7">
      <c r="A256" s="67">
        <v>5009</v>
      </c>
      <c r="B256" s="66" t="s">
        <v>1040</v>
      </c>
      <c r="C256" s="67">
        <v>6040</v>
      </c>
      <c r="D256" s="66" t="s">
        <v>1038</v>
      </c>
      <c r="E256" s="66" t="s">
        <v>859</v>
      </c>
      <c r="F256" s="66" t="s">
        <v>513</v>
      </c>
      <c r="G256" s="66" t="s">
        <v>511</v>
      </c>
    </row>
    <row r="257" spans="1:7">
      <c r="A257" s="67">
        <v>5009</v>
      </c>
      <c r="B257" s="66" t="s">
        <v>1039</v>
      </c>
      <c r="C257" s="67">
        <v>6039</v>
      </c>
      <c r="D257" s="66" t="s">
        <v>1038</v>
      </c>
      <c r="E257" s="66" t="s">
        <v>857</v>
      </c>
      <c r="F257" s="66" t="s">
        <v>513</v>
      </c>
      <c r="G257" s="66" t="s">
        <v>511</v>
      </c>
    </row>
    <row r="258" spans="1:7">
      <c r="A258" s="67">
        <v>5011</v>
      </c>
      <c r="B258" s="66" t="s">
        <v>1037</v>
      </c>
      <c r="C258" s="67">
        <v>6044</v>
      </c>
      <c r="D258" s="66" t="s">
        <v>1033</v>
      </c>
      <c r="E258" s="66" t="s">
        <v>855</v>
      </c>
      <c r="F258" s="66" t="s">
        <v>513</v>
      </c>
      <c r="G258" s="66" t="s">
        <v>847</v>
      </c>
    </row>
    <row r="259" spans="1:7">
      <c r="A259" s="67">
        <v>5012</v>
      </c>
      <c r="B259" s="66" t="s">
        <v>1036</v>
      </c>
      <c r="C259" s="67">
        <v>6047</v>
      </c>
      <c r="D259" s="66" t="s">
        <v>1033</v>
      </c>
      <c r="E259" s="66" t="s">
        <v>1035</v>
      </c>
      <c r="F259" s="66" t="s">
        <v>513</v>
      </c>
      <c r="G259" s="66" t="s">
        <v>511</v>
      </c>
    </row>
    <row r="260" spans="1:7">
      <c r="A260" s="67">
        <v>5013</v>
      </c>
      <c r="B260" s="66" t="s">
        <v>1034</v>
      </c>
      <c r="C260" s="67">
        <v>6049</v>
      </c>
      <c r="D260" s="66" t="s">
        <v>1033</v>
      </c>
      <c r="E260" s="66" t="s">
        <v>1032</v>
      </c>
      <c r="F260" s="66" t="s">
        <v>513</v>
      </c>
      <c r="G260" s="66" t="s">
        <v>511</v>
      </c>
    </row>
    <row r="261" spans="1:7">
      <c r="A261" s="67">
        <v>5014</v>
      </c>
      <c r="B261" s="66" t="s">
        <v>1028</v>
      </c>
      <c r="C261" s="67">
        <v>11403</v>
      </c>
      <c r="D261" s="66" t="s">
        <v>927</v>
      </c>
      <c r="E261" s="66" t="s">
        <v>1029</v>
      </c>
      <c r="F261" s="66" t="s">
        <v>513</v>
      </c>
      <c r="G261" s="66" t="s">
        <v>611</v>
      </c>
    </row>
    <row r="262" spans="1:7">
      <c r="A262" s="67">
        <v>5014</v>
      </c>
      <c r="B262" s="66" t="s">
        <v>1028</v>
      </c>
      <c r="C262" s="67">
        <v>11404</v>
      </c>
      <c r="D262" s="66" t="s">
        <v>927</v>
      </c>
      <c r="E262" s="66" t="s">
        <v>1027</v>
      </c>
      <c r="F262" s="66" t="s">
        <v>513</v>
      </c>
      <c r="G262" s="66" t="s">
        <v>611</v>
      </c>
    </row>
    <row r="263" spans="1:7">
      <c r="A263" s="67">
        <v>5014</v>
      </c>
      <c r="B263" s="66" t="s">
        <v>1021</v>
      </c>
      <c r="C263" s="67">
        <v>11411</v>
      </c>
      <c r="D263" s="66" t="s">
        <v>217</v>
      </c>
      <c r="E263" s="66" t="s">
        <v>1022</v>
      </c>
      <c r="F263" s="66" t="s">
        <v>513</v>
      </c>
      <c r="G263" s="66" t="s">
        <v>611</v>
      </c>
    </row>
    <row r="264" spans="1:7">
      <c r="A264" s="67">
        <v>5014</v>
      </c>
      <c r="B264" s="66" t="s">
        <v>1021</v>
      </c>
      <c r="C264" s="67">
        <v>11412</v>
      </c>
      <c r="D264" s="66" t="s">
        <v>217</v>
      </c>
      <c r="E264" s="66" t="s">
        <v>1019</v>
      </c>
      <c r="F264" s="66" t="s">
        <v>513</v>
      </c>
      <c r="G264" s="66" t="s">
        <v>611</v>
      </c>
    </row>
    <row r="265" spans="1:7">
      <c r="A265" s="67">
        <v>5014</v>
      </c>
      <c r="B265" s="66" t="s">
        <v>1018</v>
      </c>
      <c r="C265" s="67">
        <v>11481</v>
      </c>
      <c r="D265" s="66" t="s">
        <v>505</v>
      </c>
      <c r="E265" s="66" t="s">
        <v>1026</v>
      </c>
      <c r="F265" s="66" t="s">
        <v>513</v>
      </c>
      <c r="G265" s="66" t="s">
        <v>611</v>
      </c>
    </row>
    <row r="266" spans="1:7">
      <c r="A266" s="67">
        <v>5014</v>
      </c>
      <c r="B266" s="66" t="s">
        <v>1025</v>
      </c>
      <c r="C266" s="67">
        <v>11491</v>
      </c>
      <c r="D266" s="66" t="s">
        <v>505</v>
      </c>
      <c r="E266" s="66" t="s">
        <v>1022</v>
      </c>
      <c r="F266" s="66" t="s">
        <v>513</v>
      </c>
      <c r="G266" s="66" t="s">
        <v>611</v>
      </c>
    </row>
    <row r="267" spans="1:7">
      <c r="A267" s="67">
        <v>5014</v>
      </c>
      <c r="B267" s="66" t="s">
        <v>1025</v>
      </c>
      <c r="C267" s="67">
        <v>11492</v>
      </c>
      <c r="D267" s="66" t="s">
        <v>505</v>
      </c>
      <c r="E267" s="66" t="s">
        <v>1019</v>
      </c>
      <c r="F267" s="66" t="s">
        <v>513</v>
      </c>
      <c r="G267" s="66" t="s">
        <v>611</v>
      </c>
    </row>
    <row r="268" spans="1:7">
      <c r="A268" s="67">
        <v>5014</v>
      </c>
      <c r="B268" s="66" t="s">
        <v>1021</v>
      </c>
      <c r="C268" s="67">
        <v>11415</v>
      </c>
      <c r="D268" s="66" t="s">
        <v>1020</v>
      </c>
      <c r="E268" s="66" t="s">
        <v>1022</v>
      </c>
      <c r="F268" s="66" t="s">
        <v>513</v>
      </c>
      <c r="G268" s="66" t="s">
        <v>611</v>
      </c>
    </row>
    <row r="269" spans="1:7">
      <c r="A269" s="67">
        <v>5014</v>
      </c>
      <c r="B269" s="66" t="s">
        <v>1021</v>
      </c>
      <c r="C269" s="67">
        <v>11416</v>
      </c>
      <c r="D269" s="66" t="s">
        <v>1020</v>
      </c>
      <c r="E269" s="66" t="s">
        <v>1019</v>
      </c>
      <c r="F269" s="66" t="s">
        <v>513</v>
      </c>
      <c r="G269" s="66" t="s">
        <v>611</v>
      </c>
    </row>
    <row r="270" spans="1:7">
      <c r="A270" s="67">
        <v>5014</v>
      </c>
      <c r="B270" s="66" t="s">
        <v>1018</v>
      </c>
      <c r="C270" s="67">
        <v>11482</v>
      </c>
      <c r="D270" s="66" t="s">
        <v>505</v>
      </c>
      <c r="E270" s="66" t="s">
        <v>1017</v>
      </c>
      <c r="F270" s="66" t="s">
        <v>513</v>
      </c>
      <c r="G270" s="66" t="s">
        <v>611</v>
      </c>
    </row>
    <row r="271" spans="1:7">
      <c r="A271" s="67">
        <v>5015</v>
      </c>
      <c r="B271" s="66" t="s">
        <v>1012</v>
      </c>
      <c r="C271" s="67">
        <v>11501</v>
      </c>
      <c r="D271" s="66" t="s">
        <v>116</v>
      </c>
      <c r="E271" s="66" t="s">
        <v>1006</v>
      </c>
      <c r="F271" s="66" t="s">
        <v>513</v>
      </c>
      <c r="G271" s="66" t="s">
        <v>611</v>
      </c>
    </row>
    <row r="272" spans="1:7">
      <c r="A272" s="67">
        <v>5015</v>
      </c>
      <c r="B272" s="66" t="s">
        <v>1011</v>
      </c>
      <c r="C272" s="67">
        <v>11502</v>
      </c>
      <c r="D272" s="66" t="s">
        <v>116</v>
      </c>
      <c r="E272" s="66" t="s">
        <v>1004</v>
      </c>
      <c r="F272" s="66" t="s">
        <v>513</v>
      </c>
      <c r="G272" s="66" t="s">
        <v>611</v>
      </c>
    </row>
    <row r="273" spans="1:7">
      <c r="A273" s="67">
        <v>5015</v>
      </c>
      <c r="B273" s="66" t="s">
        <v>1010</v>
      </c>
      <c r="C273" s="67">
        <v>11503</v>
      </c>
      <c r="D273" s="66" t="s">
        <v>999</v>
      </c>
      <c r="E273" s="66" t="s">
        <v>1006</v>
      </c>
      <c r="F273" s="66" t="s">
        <v>513</v>
      </c>
      <c r="G273" s="66" t="s">
        <v>611</v>
      </c>
    </row>
    <row r="274" spans="1:7">
      <c r="A274" s="67">
        <v>5015</v>
      </c>
      <c r="B274" s="66" t="s">
        <v>1009</v>
      </c>
      <c r="C274" s="67">
        <v>11512</v>
      </c>
      <c r="D274" s="66" t="s">
        <v>505</v>
      </c>
      <c r="E274" s="66" t="s">
        <v>1004</v>
      </c>
      <c r="F274" s="66" t="s">
        <v>513</v>
      </c>
      <c r="G274" s="66" t="s">
        <v>611</v>
      </c>
    </row>
    <row r="275" spans="1:7">
      <c r="A275" s="67">
        <v>5015</v>
      </c>
      <c r="B275" s="66" t="s">
        <v>1008</v>
      </c>
      <c r="C275" s="67">
        <v>11508</v>
      </c>
      <c r="D275" s="66" t="s">
        <v>999</v>
      </c>
      <c r="E275" s="66" t="s">
        <v>1001</v>
      </c>
      <c r="F275" s="66" t="s">
        <v>513</v>
      </c>
      <c r="G275" s="66" t="s">
        <v>611</v>
      </c>
    </row>
    <row r="276" spans="1:7">
      <c r="A276" s="67">
        <v>5015</v>
      </c>
      <c r="B276" s="66" t="s">
        <v>1007</v>
      </c>
      <c r="C276" s="67">
        <v>11511</v>
      </c>
      <c r="D276" s="66" t="s">
        <v>505</v>
      </c>
      <c r="E276" s="66" t="s">
        <v>1006</v>
      </c>
      <c r="F276" s="66" t="s">
        <v>513</v>
      </c>
      <c r="G276" s="66" t="s">
        <v>611</v>
      </c>
    </row>
    <row r="277" spans="1:7">
      <c r="A277" s="67">
        <v>5015</v>
      </c>
      <c r="B277" s="66" t="s">
        <v>1005</v>
      </c>
      <c r="C277" s="67">
        <v>11504</v>
      </c>
      <c r="D277" s="66" t="s">
        <v>999</v>
      </c>
      <c r="E277" s="66" t="s">
        <v>1004</v>
      </c>
      <c r="F277" s="66" t="s">
        <v>513</v>
      </c>
      <c r="G277" s="66" t="s">
        <v>611</v>
      </c>
    </row>
    <row r="278" spans="1:7">
      <c r="A278" s="67">
        <v>5015</v>
      </c>
      <c r="B278" s="66" t="s">
        <v>1003</v>
      </c>
      <c r="C278" s="67">
        <v>11505</v>
      </c>
      <c r="D278" s="66" t="s">
        <v>116</v>
      </c>
      <c r="E278" s="66" t="s">
        <v>998</v>
      </c>
      <c r="F278" s="66" t="s">
        <v>513</v>
      </c>
      <c r="G278" s="66" t="s">
        <v>611</v>
      </c>
    </row>
    <row r="279" spans="1:7">
      <c r="A279" s="67">
        <v>5015</v>
      </c>
      <c r="B279" s="66" t="s">
        <v>1002</v>
      </c>
      <c r="C279" s="67">
        <v>11506</v>
      </c>
      <c r="D279" s="66" t="s">
        <v>116</v>
      </c>
      <c r="E279" s="66" t="s">
        <v>1001</v>
      </c>
      <c r="F279" s="66" t="s">
        <v>513</v>
      </c>
      <c r="G279" s="66" t="s">
        <v>611</v>
      </c>
    </row>
    <row r="280" spans="1:7">
      <c r="A280" s="67">
        <v>5015</v>
      </c>
      <c r="B280" s="66" t="s">
        <v>1000</v>
      </c>
      <c r="C280" s="67">
        <v>11507</v>
      </c>
      <c r="D280" s="66" t="s">
        <v>999</v>
      </c>
      <c r="E280" s="66" t="s">
        <v>998</v>
      </c>
      <c r="F280" s="66" t="s">
        <v>513</v>
      </c>
      <c r="G280" s="66" t="s">
        <v>611</v>
      </c>
    </row>
    <row r="281" spans="1:7">
      <c r="A281" s="67">
        <v>5016</v>
      </c>
      <c r="B281" s="66" t="s">
        <v>979</v>
      </c>
      <c r="C281" s="67">
        <v>11692</v>
      </c>
      <c r="D281" s="66" t="s">
        <v>505</v>
      </c>
      <c r="E281" s="66" t="s">
        <v>996</v>
      </c>
      <c r="F281" s="66" t="s">
        <v>513</v>
      </c>
      <c r="G281" s="66" t="s">
        <v>611</v>
      </c>
    </row>
    <row r="282" spans="1:7">
      <c r="A282" s="67">
        <v>5016</v>
      </c>
      <c r="B282" s="66" t="s">
        <v>979</v>
      </c>
      <c r="C282" s="67">
        <v>11603</v>
      </c>
      <c r="D282" s="66" t="s">
        <v>99</v>
      </c>
      <c r="E282" s="66" t="s">
        <v>981</v>
      </c>
      <c r="F282" s="66" t="s">
        <v>513</v>
      </c>
      <c r="G282" s="66" t="s">
        <v>611</v>
      </c>
    </row>
    <row r="283" spans="1:7">
      <c r="A283" s="67">
        <v>5016</v>
      </c>
      <c r="B283" s="66" t="s">
        <v>979</v>
      </c>
      <c r="C283" s="67">
        <v>11604</v>
      </c>
      <c r="D283" s="66" t="s">
        <v>99</v>
      </c>
      <c r="E283" s="66" t="s">
        <v>980</v>
      </c>
      <c r="F283" s="66" t="s">
        <v>513</v>
      </c>
      <c r="G283" s="66" t="s">
        <v>611</v>
      </c>
    </row>
    <row r="284" spans="1:7">
      <c r="A284" s="67">
        <v>5016</v>
      </c>
      <c r="B284" s="66" t="s">
        <v>979</v>
      </c>
      <c r="C284" s="67">
        <v>11622</v>
      </c>
      <c r="D284" s="66" t="s">
        <v>897</v>
      </c>
      <c r="E284" s="66" t="s">
        <v>988</v>
      </c>
      <c r="F284" s="66" t="s">
        <v>513</v>
      </c>
      <c r="G284" s="66" t="s">
        <v>611</v>
      </c>
    </row>
    <row r="285" spans="1:7">
      <c r="A285" s="67">
        <v>5016</v>
      </c>
      <c r="B285" s="66" t="s">
        <v>979</v>
      </c>
      <c r="C285" s="67">
        <v>11626</v>
      </c>
      <c r="D285" s="66" t="s">
        <v>897</v>
      </c>
      <c r="E285" s="66" t="s">
        <v>984</v>
      </c>
      <c r="F285" s="66" t="s">
        <v>513</v>
      </c>
      <c r="G285" s="66" t="s">
        <v>611</v>
      </c>
    </row>
    <row r="286" spans="1:7">
      <c r="A286" s="67">
        <v>5016</v>
      </c>
      <c r="B286" s="66" t="s">
        <v>979</v>
      </c>
      <c r="C286" s="67">
        <v>11690</v>
      </c>
      <c r="D286" s="66" t="s">
        <v>505</v>
      </c>
      <c r="E286" s="66" t="s">
        <v>981</v>
      </c>
      <c r="F286" s="66" t="s">
        <v>513</v>
      </c>
      <c r="G286" s="66" t="s">
        <v>611</v>
      </c>
    </row>
    <row r="287" spans="1:7">
      <c r="A287" s="67">
        <v>5016</v>
      </c>
      <c r="B287" s="66" t="s">
        <v>979</v>
      </c>
      <c r="C287" s="67">
        <v>11691</v>
      </c>
      <c r="D287" s="66" t="s">
        <v>505</v>
      </c>
      <c r="E287" s="66" t="s">
        <v>980</v>
      </c>
      <c r="F287" s="66" t="s">
        <v>513</v>
      </c>
      <c r="G287" s="66" t="s">
        <v>611</v>
      </c>
    </row>
    <row r="288" spans="1:7">
      <c r="A288" s="67">
        <v>5017</v>
      </c>
      <c r="B288" s="66" t="s">
        <v>977</v>
      </c>
      <c r="C288" s="67">
        <v>11701</v>
      </c>
      <c r="D288" s="66" t="s">
        <v>945</v>
      </c>
      <c r="E288" s="66" t="s">
        <v>933</v>
      </c>
      <c r="F288" s="66" t="s">
        <v>513</v>
      </c>
      <c r="G288" s="66" t="s">
        <v>611</v>
      </c>
    </row>
    <row r="289" spans="1:7">
      <c r="A289" s="67">
        <v>5017</v>
      </c>
      <c r="B289" s="66" t="s">
        <v>975</v>
      </c>
      <c r="C289" s="67">
        <v>11703</v>
      </c>
      <c r="D289" s="66" t="s">
        <v>960</v>
      </c>
      <c r="E289" s="66" t="s">
        <v>933</v>
      </c>
      <c r="F289" s="66" t="s">
        <v>513</v>
      </c>
      <c r="G289" s="66" t="s">
        <v>611</v>
      </c>
    </row>
    <row r="290" spans="1:7">
      <c r="A290" s="67">
        <v>5017</v>
      </c>
      <c r="B290" s="66" t="s">
        <v>974</v>
      </c>
      <c r="C290" s="67">
        <v>11704</v>
      </c>
      <c r="D290" s="66" t="s">
        <v>943</v>
      </c>
      <c r="E290" s="66" t="s">
        <v>933</v>
      </c>
      <c r="F290" s="66" t="s">
        <v>513</v>
      </c>
      <c r="G290" s="66" t="s">
        <v>611</v>
      </c>
    </row>
    <row r="291" spans="1:7">
      <c r="A291" s="67">
        <v>5017</v>
      </c>
      <c r="B291" s="66" t="s">
        <v>973</v>
      </c>
      <c r="C291" s="67">
        <v>11705</v>
      </c>
      <c r="D291" s="66" t="s">
        <v>945</v>
      </c>
      <c r="E291" s="66" t="s">
        <v>969</v>
      </c>
      <c r="F291" s="66" t="s">
        <v>513</v>
      </c>
      <c r="G291" s="66" t="s">
        <v>611</v>
      </c>
    </row>
    <row r="292" spans="1:7">
      <c r="A292" s="67">
        <v>5017</v>
      </c>
      <c r="B292" s="66" t="s">
        <v>972</v>
      </c>
      <c r="C292" s="67">
        <v>11706</v>
      </c>
      <c r="D292" s="66" t="s">
        <v>147</v>
      </c>
      <c r="E292" s="66" t="s">
        <v>969</v>
      </c>
      <c r="F292" s="66" t="s">
        <v>513</v>
      </c>
      <c r="G292" s="66" t="s">
        <v>611</v>
      </c>
    </row>
    <row r="293" spans="1:7">
      <c r="A293" s="67">
        <v>5017</v>
      </c>
      <c r="B293" s="66" t="s">
        <v>971</v>
      </c>
      <c r="C293" s="67">
        <v>11707</v>
      </c>
      <c r="D293" s="66" t="s">
        <v>960</v>
      </c>
      <c r="E293" s="66" t="s">
        <v>969</v>
      </c>
      <c r="F293" s="66" t="s">
        <v>513</v>
      </c>
      <c r="G293" s="66" t="s">
        <v>611</v>
      </c>
    </row>
    <row r="294" spans="1:7">
      <c r="A294" s="67">
        <v>5017</v>
      </c>
      <c r="B294" s="66" t="s">
        <v>970</v>
      </c>
      <c r="C294" s="67">
        <v>11708</v>
      </c>
      <c r="D294" s="66" t="s">
        <v>943</v>
      </c>
      <c r="E294" s="66" t="s">
        <v>969</v>
      </c>
      <c r="F294" s="66" t="s">
        <v>513</v>
      </c>
      <c r="G294" s="66" t="s">
        <v>611</v>
      </c>
    </row>
    <row r="295" spans="1:7">
      <c r="A295" s="67">
        <v>5017</v>
      </c>
      <c r="B295" s="66" t="s">
        <v>968</v>
      </c>
      <c r="C295" s="67">
        <v>11721</v>
      </c>
      <c r="D295" s="66" t="s">
        <v>945</v>
      </c>
      <c r="E295" s="66" t="s">
        <v>964</v>
      </c>
      <c r="F295" s="66" t="s">
        <v>513</v>
      </c>
      <c r="G295" s="66" t="s">
        <v>611</v>
      </c>
    </row>
    <row r="296" spans="1:7">
      <c r="A296" s="67">
        <v>5017</v>
      </c>
      <c r="B296" s="66" t="s">
        <v>967</v>
      </c>
      <c r="C296" s="67">
        <v>11722</v>
      </c>
      <c r="D296" s="66" t="s">
        <v>147</v>
      </c>
      <c r="E296" s="66" t="s">
        <v>964</v>
      </c>
      <c r="F296" s="66" t="s">
        <v>513</v>
      </c>
      <c r="G296" s="66" t="s">
        <v>611</v>
      </c>
    </row>
    <row r="297" spans="1:7">
      <c r="A297" s="67">
        <v>5017</v>
      </c>
      <c r="B297" s="66" t="s">
        <v>966</v>
      </c>
      <c r="C297" s="67">
        <v>11723</v>
      </c>
      <c r="D297" s="66" t="s">
        <v>960</v>
      </c>
      <c r="E297" s="66" t="s">
        <v>964</v>
      </c>
      <c r="F297" s="66" t="s">
        <v>513</v>
      </c>
      <c r="G297" s="66" t="s">
        <v>611</v>
      </c>
    </row>
    <row r="298" spans="1:7">
      <c r="A298" s="67">
        <v>5017</v>
      </c>
      <c r="B298" s="66" t="s">
        <v>965</v>
      </c>
      <c r="C298" s="67">
        <v>11724</v>
      </c>
      <c r="D298" s="66" t="s">
        <v>943</v>
      </c>
      <c r="E298" s="66" t="s">
        <v>964</v>
      </c>
      <c r="F298" s="66" t="s">
        <v>513</v>
      </c>
      <c r="G298" s="66" t="s">
        <v>611</v>
      </c>
    </row>
    <row r="299" spans="1:7">
      <c r="A299" s="67">
        <v>5017</v>
      </c>
      <c r="B299" s="66" t="s">
        <v>963</v>
      </c>
      <c r="C299" s="67">
        <v>11725</v>
      </c>
      <c r="D299" s="66" t="s">
        <v>945</v>
      </c>
      <c r="E299" s="66" t="s">
        <v>958</v>
      </c>
      <c r="F299" s="66" t="s">
        <v>513</v>
      </c>
      <c r="G299" s="66" t="s">
        <v>611</v>
      </c>
    </row>
    <row r="300" spans="1:7">
      <c r="A300" s="67">
        <v>5017</v>
      </c>
      <c r="B300" s="66" t="s">
        <v>962</v>
      </c>
      <c r="C300" s="67">
        <v>11726</v>
      </c>
      <c r="D300" s="66" t="s">
        <v>147</v>
      </c>
      <c r="E300" s="66" t="s">
        <v>958</v>
      </c>
      <c r="F300" s="66" t="s">
        <v>513</v>
      </c>
      <c r="G300" s="66" t="s">
        <v>611</v>
      </c>
    </row>
    <row r="301" spans="1:7">
      <c r="A301" s="67">
        <v>5017</v>
      </c>
      <c r="B301" s="66" t="s">
        <v>961</v>
      </c>
      <c r="C301" s="67">
        <v>11727</v>
      </c>
      <c r="D301" s="66" t="s">
        <v>960</v>
      </c>
      <c r="E301" s="66" t="s">
        <v>958</v>
      </c>
      <c r="F301" s="66" t="s">
        <v>513</v>
      </c>
      <c r="G301" s="66" t="s">
        <v>611</v>
      </c>
    </row>
    <row r="302" spans="1:7">
      <c r="A302" s="67">
        <v>5017</v>
      </c>
      <c r="B302" s="66" t="s">
        <v>959</v>
      </c>
      <c r="C302" s="67">
        <v>11728</v>
      </c>
      <c r="D302" s="66" t="s">
        <v>943</v>
      </c>
      <c r="E302" s="66" t="s">
        <v>958</v>
      </c>
      <c r="F302" s="66" t="s">
        <v>513</v>
      </c>
      <c r="G302" s="66" t="s">
        <v>611</v>
      </c>
    </row>
    <row r="303" spans="1:7">
      <c r="A303" s="67">
        <v>5017</v>
      </c>
      <c r="B303" s="66" t="s">
        <v>957</v>
      </c>
      <c r="C303" s="67">
        <v>11731</v>
      </c>
      <c r="D303" s="66" t="s">
        <v>945</v>
      </c>
      <c r="E303" s="66" t="s">
        <v>954</v>
      </c>
      <c r="F303" s="66" t="s">
        <v>513</v>
      </c>
      <c r="G303" s="66" t="s">
        <v>611</v>
      </c>
    </row>
    <row r="304" spans="1:7">
      <c r="A304" s="67">
        <v>5017</v>
      </c>
      <c r="B304" s="66" t="s">
        <v>956</v>
      </c>
      <c r="C304" s="67">
        <v>11732</v>
      </c>
      <c r="D304" s="66" t="s">
        <v>147</v>
      </c>
      <c r="E304" s="66" t="s">
        <v>954</v>
      </c>
      <c r="F304" s="66" t="s">
        <v>513</v>
      </c>
      <c r="G304" s="66" t="s">
        <v>611</v>
      </c>
    </row>
    <row r="305" spans="1:7">
      <c r="A305" s="67">
        <v>5017</v>
      </c>
      <c r="B305" s="66" t="s">
        <v>955</v>
      </c>
      <c r="C305" s="67">
        <v>11733</v>
      </c>
      <c r="D305" s="66" t="s">
        <v>943</v>
      </c>
      <c r="E305" s="66" t="s">
        <v>954</v>
      </c>
      <c r="F305" s="66" t="s">
        <v>513</v>
      </c>
      <c r="G305" s="66" t="s">
        <v>611</v>
      </c>
    </row>
    <row r="306" spans="1:7">
      <c r="A306" s="67">
        <v>5017</v>
      </c>
      <c r="B306" s="66" t="s">
        <v>953</v>
      </c>
      <c r="C306" s="67">
        <v>11734</v>
      </c>
      <c r="D306" s="66" t="s">
        <v>945</v>
      </c>
      <c r="E306" s="66" t="s">
        <v>950</v>
      </c>
      <c r="F306" s="66" t="s">
        <v>513</v>
      </c>
      <c r="G306" s="66" t="s">
        <v>611</v>
      </c>
    </row>
    <row r="307" spans="1:7">
      <c r="A307" s="67">
        <v>5017</v>
      </c>
      <c r="B307" s="66" t="s">
        <v>952</v>
      </c>
      <c r="C307" s="67">
        <v>11735</v>
      </c>
      <c r="D307" s="66" t="s">
        <v>147</v>
      </c>
      <c r="E307" s="66" t="s">
        <v>950</v>
      </c>
      <c r="F307" s="66" t="s">
        <v>513</v>
      </c>
      <c r="G307" s="66" t="s">
        <v>611</v>
      </c>
    </row>
    <row r="308" spans="1:7">
      <c r="A308" s="67">
        <v>5017</v>
      </c>
      <c r="B308" s="66" t="s">
        <v>951</v>
      </c>
      <c r="C308" s="67">
        <v>11736</v>
      </c>
      <c r="D308" s="66" t="s">
        <v>943</v>
      </c>
      <c r="E308" s="66" t="s">
        <v>950</v>
      </c>
      <c r="F308" s="66" t="s">
        <v>513</v>
      </c>
      <c r="G308" s="66" t="s">
        <v>611</v>
      </c>
    </row>
    <row r="309" spans="1:7">
      <c r="A309" s="67">
        <v>5017</v>
      </c>
      <c r="B309" s="66" t="s">
        <v>949</v>
      </c>
      <c r="C309" s="67">
        <v>11751</v>
      </c>
      <c r="D309" s="66" t="s">
        <v>945</v>
      </c>
      <c r="E309" s="66" t="s">
        <v>947</v>
      </c>
      <c r="F309" s="66" t="s">
        <v>513</v>
      </c>
      <c r="G309" s="66" t="s">
        <v>611</v>
      </c>
    </row>
    <row r="310" spans="1:7">
      <c r="A310" s="67">
        <v>5017</v>
      </c>
      <c r="B310" s="66" t="s">
        <v>948</v>
      </c>
      <c r="C310" s="67">
        <v>11752</v>
      </c>
      <c r="D310" s="66" t="s">
        <v>943</v>
      </c>
      <c r="E310" s="66" t="s">
        <v>947</v>
      </c>
      <c r="F310" s="66" t="s">
        <v>513</v>
      </c>
      <c r="G310" s="66" t="s">
        <v>611</v>
      </c>
    </row>
    <row r="311" spans="1:7">
      <c r="A311" s="67">
        <v>5017</v>
      </c>
      <c r="B311" s="66" t="s">
        <v>946</v>
      </c>
      <c r="C311" s="67">
        <v>11753</v>
      </c>
      <c r="D311" s="66" t="s">
        <v>945</v>
      </c>
      <c r="E311" s="66" t="s">
        <v>942</v>
      </c>
      <c r="F311" s="66" t="s">
        <v>513</v>
      </c>
      <c r="G311" s="66" t="s">
        <v>611</v>
      </c>
    </row>
    <row r="312" spans="1:7">
      <c r="A312" s="67">
        <v>5017</v>
      </c>
      <c r="B312" s="66" t="s">
        <v>944</v>
      </c>
      <c r="C312" s="67">
        <v>11754</v>
      </c>
      <c r="D312" s="66" t="s">
        <v>943</v>
      </c>
      <c r="E312" s="66" t="s">
        <v>942</v>
      </c>
      <c r="F312" s="66" t="s">
        <v>513</v>
      </c>
      <c r="G312" s="66" t="s">
        <v>611</v>
      </c>
    </row>
    <row r="313" spans="1:7">
      <c r="A313" s="67">
        <v>5017</v>
      </c>
      <c r="B313" s="66" t="s">
        <v>934</v>
      </c>
      <c r="C313" s="67">
        <v>11702</v>
      </c>
      <c r="D313" s="66" t="s">
        <v>147</v>
      </c>
      <c r="E313" s="66" t="s">
        <v>933</v>
      </c>
      <c r="F313" s="66" t="s">
        <v>513</v>
      </c>
      <c r="G313" s="66" t="s">
        <v>611</v>
      </c>
    </row>
    <row r="314" spans="1:7">
      <c r="A314" s="67">
        <v>5018</v>
      </c>
      <c r="B314" s="66" t="s">
        <v>928</v>
      </c>
      <c r="C314" s="67">
        <v>11801</v>
      </c>
      <c r="D314" s="66" t="s">
        <v>76</v>
      </c>
      <c r="E314" s="66" t="s">
        <v>926</v>
      </c>
      <c r="F314" s="66" t="s">
        <v>513</v>
      </c>
      <c r="G314" s="66" t="s">
        <v>611</v>
      </c>
    </row>
    <row r="315" spans="1:7">
      <c r="A315" s="67">
        <v>5018</v>
      </c>
      <c r="B315" s="66" t="s">
        <v>928</v>
      </c>
      <c r="C315" s="67">
        <v>11802</v>
      </c>
      <c r="D315" s="66" t="s">
        <v>76</v>
      </c>
      <c r="E315" s="66" t="s">
        <v>931</v>
      </c>
      <c r="F315" s="66" t="s">
        <v>513</v>
      </c>
      <c r="G315" s="66" t="s">
        <v>611</v>
      </c>
    </row>
    <row r="316" spans="1:7">
      <c r="A316" s="67">
        <v>5018</v>
      </c>
      <c r="B316" s="66" t="s">
        <v>930</v>
      </c>
      <c r="C316" s="67">
        <v>11806</v>
      </c>
      <c r="D316" s="66" t="s">
        <v>99</v>
      </c>
      <c r="E316" s="66" t="s">
        <v>932</v>
      </c>
      <c r="F316" s="66" t="s">
        <v>513</v>
      </c>
      <c r="G316" s="66" t="s">
        <v>611</v>
      </c>
    </row>
    <row r="317" spans="1:7">
      <c r="A317" s="67">
        <v>5018</v>
      </c>
      <c r="B317" s="66" t="s">
        <v>928</v>
      </c>
      <c r="C317" s="67">
        <v>11804</v>
      </c>
      <c r="D317" s="66" t="s">
        <v>927</v>
      </c>
      <c r="E317" s="66" t="s">
        <v>931</v>
      </c>
      <c r="F317" s="66" t="s">
        <v>513</v>
      </c>
      <c r="G317" s="66" t="s">
        <v>611</v>
      </c>
    </row>
    <row r="318" spans="1:7">
      <c r="A318" s="67">
        <v>5018</v>
      </c>
      <c r="B318" s="66" t="s">
        <v>930</v>
      </c>
      <c r="C318" s="67">
        <v>11805</v>
      </c>
      <c r="D318" s="66" t="s">
        <v>99</v>
      </c>
      <c r="E318" s="66" t="s">
        <v>929</v>
      </c>
      <c r="F318" s="66" t="s">
        <v>513</v>
      </c>
      <c r="G318" s="66" t="s">
        <v>611</v>
      </c>
    </row>
    <row r="319" spans="1:7">
      <c r="A319" s="67">
        <v>5018</v>
      </c>
      <c r="B319" s="66" t="s">
        <v>928</v>
      </c>
      <c r="C319" s="67">
        <v>11803</v>
      </c>
      <c r="D319" s="66" t="s">
        <v>927</v>
      </c>
      <c r="E319" s="66" t="s">
        <v>926</v>
      </c>
      <c r="F319" s="66" t="s">
        <v>513</v>
      </c>
      <c r="G319" s="66" t="s">
        <v>611</v>
      </c>
    </row>
    <row r="320" spans="1:7">
      <c r="A320" s="67">
        <v>5021</v>
      </c>
      <c r="B320" s="66" t="s">
        <v>925</v>
      </c>
      <c r="C320" s="67">
        <v>6062</v>
      </c>
      <c r="D320" s="66" t="s">
        <v>92</v>
      </c>
      <c r="E320" s="66" t="s">
        <v>924</v>
      </c>
      <c r="F320" s="66" t="s">
        <v>513</v>
      </c>
      <c r="G320" s="66" t="s">
        <v>511</v>
      </c>
    </row>
    <row r="321" spans="1:7">
      <c r="A321" s="67">
        <v>5021</v>
      </c>
      <c r="B321" s="66" t="s">
        <v>923</v>
      </c>
      <c r="C321" s="67">
        <v>6061</v>
      </c>
      <c r="D321" s="66" t="s">
        <v>92</v>
      </c>
      <c r="E321" s="66" t="s">
        <v>922</v>
      </c>
      <c r="F321" s="66" t="s">
        <v>513</v>
      </c>
      <c r="G321" s="66" t="s">
        <v>511</v>
      </c>
    </row>
    <row r="322" spans="1:7">
      <c r="A322" s="67">
        <v>5023</v>
      </c>
      <c r="B322" s="66" t="s">
        <v>917</v>
      </c>
      <c r="C322" s="67">
        <v>12301</v>
      </c>
      <c r="D322" s="66" t="s">
        <v>101</v>
      </c>
      <c r="E322" s="66" t="s">
        <v>921</v>
      </c>
      <c r="F322" s="66" t="s">
        <v>513</v>
      </c>
      <c r="G322" s="66" t="s">
        <v>611</v>
      </c>
    </row>
    <row r="323" spans="1:7">
      <c r="A323" s="67">
        <v>5023</v>
      </c>
      <c r="B323" s="66" t="s">
        <v>919</v>
      </c>
      <c r="C323" s="67">
        <v>12312</v>
      </c>
      <c r="D323" s="66" t="s">
        <v>101</v>
      </c>
      <c r="E323" s="66" t="s">
        <v>920</v>
      </c>
      <c r="F323" s="66" t="s">
        <v>513</v>
      </c>
      <c r="G323" s="66" t="s">
        <v>611</v>
      </c>
    </row>
    <row r="324" spans="1:7">
      <c r="A324" s="67">
        <v>5023</v>
      </c>
      <c r="B324" s="66" t="s">
        <v>919</v>
      </c>
      <c r="C324" s="67">
        <v>12311</v>
      </c>
      <c r="D324" s="66" t="s">
        <v>101</v>
      </c>
      <c r="E324" s="66" t="s">
        <v>918</v>
      </c>
      <c r="F324" s="66" t="s">
        <v>513</v>
      </c>
      <c r="G324" s="66" t="s">
        <v>611</v>
      </c>
    </row>
    <row r="325" spans="1:7">
      <c r="A325" s="67">
        <v>5023</v>
      </c>
      <c r="B325" s="66" t="s">
        <v>917</v>
      </c>
      <c r="C325" s="67">
        <v>12302</v>
      </c>
      <c r="D325" s="66" t="s">
        <v>101</v>
      </c>
      <c r="E325" s="66" t="s">
        <v>916</v>
      </c>
      <c r="F325" s="66" t="s">
        <v>513</v>
      </c>
      <c r="G325" s="66" t="s">
        <v>611</v>
      </c>
    </row>
    <row r="326" spans="1:7">
      <c r="A326" s="67">
        <v>5024</v>
      </c>
      <c r="B326" s="66" t="s">
        <v>911</v>
      </c>
      <c r="C326" s="67">
        <v>12401</v>
      </c>
      <c r="D326" s="66" t="s">
        <v>913</v>
      </c>
      <c r="E326" s="66" t="s">
        <v>910</v>
      </c>
      <c r="F326" s="66" t="s">
        <v>513</v>
      </c>
      <c r="G326" s="66" t="s">
        <v>611</v>
      </c>
    </row>
    <row r="327" spans="1:7">
      <c r="A327" s="67">
        <v>5024</v>
      </c>
      <c r="B327" s="66" t="s">
        <v>914</v>
      </c>
      <c r="C327" s="67">
        <v>12404</v>
      </c>
      <c r="D327" s="66" t="s">
        <v>913</v>
      </c>
      <c r="E327" s="66" t="s">
        <v>915</v>
      </c>
      <c r="F327" s="66" t="s">
        <v>513</v>
      </c>
      <c r="G327" s="66" t="s">
        <v>611</v>
      </c>
    </row>
    <row r="328" spans="1:7">
      <c r="A328" s="67">
        <v>5024</v>
      </c>
      <c r="B328" s="66" t="s">
        <v>914</v>
      </c>
      <c r="C328" s="67">
        <v>12403</v>
      </c>
      <c r="D328" s="66" t="s">
        <v>913</v>
      </c>
      <c r="E328" s="66" t="s">
        <v>912</v>
      </c>
      <c r="F328" s="66" t="s">
        <v>513</v>
      </c>
      <c r="G328" s="66" t="s">
        <v>611</v>
      </c>
    </row>
    <row r="329" spans="1:7">
      <c r="A329" s="67">
        <v>5024</v>
      </c>
      <c r="B329" s="66" t="s">
        <v>911</v>
      </c>
      <c r="C329" s="67">
        <v>12402</v>
      </c>
      <c r="D329" s="66" t="s">
        <v>897</v>
      </c>
      <c r="E329" s="66" t="s">
        <v>910</v>
      </c>
      <c r="F329" s="66" t="s">
        <v>513</v>
      </c>
      <c r="G329" s="66" t="s">
        <v>611</v>
      </c>
    </row>
    <row r="330" spans="1:7">
      <c r="A330" s="67">
        <v>5027</v>
      </c>
      <c r="B330" s="66" t="s">
        <v>898</v>
      </c>
      <c r="C330" s="67">
        <v>12707</v>
      </c>
      <c r="D330" s="66" t="s">
        <v>897</v>
      </c>
      <c r="E330" s="66" t="s">
        <v>513</v>
      </c>
      <c r="F330" s="66" t="s">
        <v>902</v>
      </c>
      <c r="G330" s="66" t="s">
        <v>611</v>
      </c>
    </row>
    <row r="331" spans="1:7">
      <c r="A331" s="67">
        <v>5027</v>
      </c>
      <c r="B331" s="66" t="s">
        <v>900</v>
      </c>
      <c r="C331" s="67">
        <v>12701</v>
      </c>
      <c r="D331" s="66" t="s">
        <v>897</v>
      </c>
      <c r="E331" s="66" t="s">
        <v>513</v>
      </c>
      <c r="F331" s="66" t="s">
        <v>901</v>
      </c>
      <c r="G331" s="66" t="s">
        <v>611</v>
      </c>
    </row>
    <row r="332" spans="1:7">
      <c r="A332" s="67">
        <v>5027</v>
      </c>
      <c r="B332" s="66" t="s">
        <v>900</v>
      </c>
      <c r="C332" s="67">
        <v>12702</v>
      </c>
      <c r="D332" s="66" t="s">
        <v>897</v>
      </c>
      <c r="E332" s="66" t="s">
        <v>513</v>
      </c>
      <c r="F332" s="66" t="s">
        <v>899</v>
      </c>
      <c r="G332" s="66" t="s">
        <v>611</v>
      </c>
    </row>
    <row r="333" spans="1:7">
      <c r="A333" s="67">
        <v>5027</v>
      </c>
      <c r="B333" s="66" t="s">
        <v>898</v>
      </c>
      <c r="C333" s="67">
        <v>12708</v>
      </c>
      <c r="D333" s="66" t="s">
        <v>897</v>
      </c>
      <c r="E333" s="66" t="s">
        <v>513</v>
      </c>
      <c r="F333" s="66" t="s">
        <v>896</v>
      </c>
      <c r="G333" s="66" t="s">
        <v>611</v>
      </c>
    </row>
    <row r="334" spans="1:7">
      <c r="A334" s="67">
        <v>5027</v>
      </c>
      <c r="B334" s="66" t="s">
        <v>893</v>
      </c>
      <c r="C334" s="67">
        <v>12704</v>
      </c>
      <c r="D334" s="66" t="s">
        <v>217</v>
      </c>
      <c r="E334" s="66" t="s">
        <v>895</v>
      </c>
      <c r="F334" s="66" t="s">
        <v>513</v>
      </c>
      <c r="G334" s="66" t="s">
        <v>611</v>
      </c>
    </row>
    <row r="335" spans="1:7">
      <c r="A335" s="67">
        <v>5027</v>
      </c>
      <c r="B335" s="66" t="s">
        <v>893</v>
      </c>
      <c r="C335" s="67">
        <v>12705</v>
      </c>
      <c r="D335" s="66" t="s">
        <v>99</v>
      </c>
      <c r="E335" s="66" t="s">
        <v>894</v>
      </c>
      <c r="F335" s="66" t="s">
        <v>513</v>
      </c>
      <c r="G335" s="66" t="s">
        <v>611</v>
      </c>
    </row>
    <row r="336" spans="1:7">
      <c r="A336" s="67">
        <v>5103</v>
      </c>
      <c r="B336" s="66" t="s">
        <v>179</v>
      </c>
      <c r="C336" s="67">
        <v>6070</v>
      </c>
      <c r="D336" s="66" t="s">
        <v>879</v>
      </c>
      <c r="E336" s="66" t="s">
        <v>513</v>
      </c>
      <c r="F336" s="66" t="s">
        <v>884</v>
      </c>
      <c r="G336" s="66" t="s">
        <v>847</v>
      </c>
    </row>
    <row r="337" spans="1:7">
      <c r="A337" s="67">
        <v>5103</v>
      </c>
      <c r="B337" s="66" t="s">
        <v>177</v>
      </c>
      <c r="C337" s="67">
        <v>6069</v>
      </c>
      <c r="D337" s="66" t="s">
        <v>879</v>
      </c>
      <c r="E337" s="66" t="s">
        <v>513</v>
      </c>
      <c r="F337" s="66" t="s">
        <v>883</v>
      </c>
      <c r="G337" s="66" t="s">
        <v>847</v>
      </c>
    </row>
    <row r="338" spans="1:7">
      <c r="A338" s="67">
        <v>5103</v>
      </c>
      <c r="B338" s="66" t="s">
        <v>175</v>
      </c>
      <c r="C338" s="67">
        <v>6068</v>
      </c>
      <c r="D338" s="66" t="s">
        <v>879</v>
      </c>
      <c r="E338" s="66" t="s">
        <v>513</v>
      </c>
      <c r="F338" s="66" t="s">
        <v>882</v>
      </c>
      <c r="G338" s="66" t="s">
        <v>847</v>
      </c>
    </row>
    <row r="339" spans="1:7">
      <c r="A339" s="67">
        <v>5103</v>
      </c>
      <c r="B339" s="66" t="s">
        <v>173</v>
      </c>
      <c r="C339" s="67">
        <v>6020</v>
      </c>
      <c r="D339" s="66" t="s">
        <v>879</v>
      </c>
      <c r="E339" s="66" t="s">
        <v>513</v>
      </c>
      <c r="F339" s="66" t="s">
        <v>881</v>
      </c>
      <c r="G339" s="66" t="s">
        <v>847</v>
      </c>
    </row>
    <row r="340" spans="1:7">
      <c r="A340" s="67">
        <v>5103</v>
      </c>
      <c r="B340" s="66" t="s">
        <v>171</v>
      </c>
      <c r="C340" s="67">
        <v>6019</v>
      </c>
      <c r="D340" s="66" t="s">
        <v>879</v>
      </c>
      <c r="E340" s="66" t="s">
        <v>513</v>
      </c>
      <c r="F340" s="66" t="s">
        <v>880</v>
      </c>
      <c r="G340" s="66" t="s">
        <v>847</v>
      </c>
    </row>
    <row r="341" spans="1:7">
      <c r="A341" s="67">
        <v>5103</v>
      </c>
      <c r="B341" s="66" t="s">
        <v>169</v>
      </c>
      <c r="C341" s="67">
        <v>6018</v>
      </c>
      <c r="D341" s="66" t="s">
        <v>879</v>
      </c>
      <c r="E341" s="66" t="s">
        <v>513</v>
      </c>
      <c r="F341" s="66" t="s">
        <v>878</v>
      </c>
      <c r="G341" s="66" t="s">
        <v>847</v>
      </c>
    </row>
    <row r="342" spans="1:7">
      <c r="A342" s="67">
        <v>5105</v>
      </c>
      <c r="B342" s="66" t="s">
        <v>64</v>
      </c>
      <c r="C342" s="67">
        <v>6025</v>
      </c>
      <c r="D342" s="66" t="s">
        <v>872</v>
      </c>
      <c r="E342" s="66" t="s">
        <v>513</v>
      </c>
      <c r="F342" s="66" t="s">
        <v>873</v>
      </c>
      <c r="G342" s="66" t="s">
        <v>847</v>
      </c>
    </row>
    <row r="343" spans="1:7">
      <c r="A343" s="67">
        <v>5105</v>
      </c>
      <c r="B343" s="66" t="s">
        <v>65</v>
      </c>
      <c r="C343" s="67">
        <v>6026</v>
      </c>
      <c r="D343" s="66" t="s">
        <v>872</v>
      </c>
      <c r="E343" s="66" t="s">
        <v>513</v>
      </c>
      <c r="F343" s="66" t="s">
        <v>871</v>
      </c>
      <c r="G343" s="66" t="s">
        <v>847</v>
      </c>
    </row>
    <row r="344" spans="1:7">
      <c r="A344" s="67">
        <v>5106</v>
      </c>
      <c r="B344" s="66" t="s">
        <v>870</v>
      </c>
      <c r="C344" s="67">
        <v>6030</v>
      </c>
      <c r="D344" s="66" t="s">
        <v>527</v>
      </c>
      <c r="E344" s="66" t="s">
        <v>513</v>
      </c>
      <c r="F344" s="66" t="s">
        <v>869</v>
      </c>
      <c r="G344" s="66" t="s">
        <v>847</v>
      </c>
    </row>
    <row r="345" spans="1:7">
      <c r="A345" s="67">
        <v>5106</v>
      </c>
      <c r="B345" s="66" t="s">
        <v>868</v>
      </c>
      <c r="C345" s="67">
        <v>6029</v>
      </c>
      <c r="D345" s="66" t="s">
        <v>527</v>
      </c>
      <c r="E345" s="66" t="s">
        <v>513</v>
      </c>
      <c r="F345" s="66" t="s">
        <v>867</v>
      </c>
      <c r="G345" s="66" t="s">
        <v>847</v>
      </c>
    </row>
    <row r="346" spans="1:7">
      <c r="A346" s="67">
        <v>5107</v>
      </c>
      <c r="B346" s="66" t="s">
        <v>866</v>
      </c>
      <c r="C346" s="67">
        <v>6034</v>
      </c>
      <c r="D346" s="66" t="s">
        <v>527</v>
      </c>
      <c r="E346" s="66" t="s">
        <v>513</v>
      </c>
      <c r="F346" s="66" t="s">
        <v>865</v>
      </c>
      <c r="G346" s="66" t="s">
        <v>847</v>
      </c>
    </row>
    <row r="347" spans="1:7">
      <c r="A347" s="67">
        <v>5107</v>
      </c>
      <c r="B347" s="66" t="s">
        <v>864</v>
      </c>
      <c r="C347" s="67">
        <v>6033</v>
      </c>
      <c r="D347" s="66" t="s">
        <v>527</v>
      </c>
      <c r="E347" s="66" t="s">
        <v>513</v>
      </c>
      <c r="F347" s="66" t="s">
        <v>863</v>
      </c>
      <c r="G347" s="66" t="s">
        <v>847</v>
      </c>
    </row>
    <row r="348" spans="1:7">
      <c r="A348" s="67">
        <v>5108</v>
      </c>
      <c r="B348" s="66" t="s">
        <v>68</v>
      </c>
      <c r="C348" s="67">
        <v>6037</v>
      </c>
      <c r="D348" s="66" t="s">
        <v>696</v>
      </c>
      <c r="E348" s="66" t="s">
        <v>513</v>
      </c>
      <c r="F348" s="66" t="s">
        <v>862</v>
      </c>
      <c r="G348" s="66" t="s">
        <v>847</v>
      </c>
    </row>
    <row r="349" spans="1:7">
      <c r="A349" s="67">
        <v>5108</v>
      </c>
      <c r="B349" s="66" t="s">
        <v>69</v>
      </c>
      <c r="C349" s="67">
        <v>6038</v>
      </c>
      <c r="D349" s="66" t="s">
        <v>696</v>
      </c>
      <c r="E349" s="66" t="s">
        <v>513</v>
      </c>
      <c r="F349" s="66" t="s">
        <v>861</v>
      </c>
      <c r="G349" s="66" t="s">
        <v>847</v>
      </c>
    </row>
    <row r="350" spans="1:7">
      <c r="A350" s="67">
        <v>5109</v>
      </c>
      <c r="B350" s="66" t="s">
        <v>860</v>
      </c>
      <c r="C350" s="67">
        <v>6042</v>
      </c>
      <c r="D350" s="66" t="s">
        <v>13</v>
      </c>
      <c r="E350" s="66" t="s">
        <v>513</v>
      </c>
      <c r="F350" s="66" t="s">
        <v>859</v>
      </c>
      <c r="G350" s="66" t="s">
        <v>511</v>
      </c>
    </row>
    <row r="351" spans="1:7">
      <c r="A351" s="67">
        <v>5109</v>
      </c>
      <c r="B351" s="66" t="s">
        <v>858</v>
      </c>
      <c r="C351" s="67">
        <v>6041</v>
      </c>
      <c r="D351" s="66" t="s">
        <v>13</v>
      </c>
      <c r="E351" s="66" t="s">
        <v>513</v>
      </c>
      <c r="F351" s="66" t="s">
        <v>857</v>
      </c>
      <c r="G351" s="66" t="s">
        <v>511</v>
      </c>
    </row>
    <row r="352" spans="1:7">
      <c r="A352" s="67">
        <v>5111</v>
      </c>
      <c r="B352" s="66" t="s">
        <v>856</v>
      </c>
      <c r="C352" s="67">
        <v>6046</v>
      </c>
      <c r="D352" s="66" t="s">
        <v>527</v>
      </c>
      <c r="E352" s="66" t="s">
        <v>513</v>
      </c>
      <c r="F352" s="66" t="s">
        <v>855</v>
      </c>
      <c r="G352" s="66" t="s">
        <v>847</v>
      </c>
    </row>
    <row r="353" spans="1:7">
      <c r="A353" s="67">
        <v>5112</v>
      </c>
      <c r="B353" s="66" t="s">
        <v>854</v>
      </c>
      <c r="C353" s="67">
        <v>6048</v>
      </c>
      <c r="D353" s="66" t="s">
        <v>13</v>
      </c>
      <c r="E353" s="66" t="s">
        <v>513</v>
      </c>
      <c r="F353" s="66" t="s">
        <v>392</v>
      </c>
      <c r="G353" s="66" t="s">
        <v>511</v>
      </c>
    </row>
    <row r="354" spans="1:7">
      <c r="A354" s="67">
        <v>5113</v>
      </c>
      <c r="B354" s="66" t="s">
        <v>853</v>
      </c>
      <c r="C354" s="67">
        <v>6051</v>
      </c>
      <c r="D354" s="66" t="s">
        <v>13</v>
      </c>
      <c r="E354" s="66" t="s">
        <v>513</v>
      </c>
      <c r="F354" s="66" t="s">
        <v>852</v>
      </c>
      <c r="G354" s="66" t="s">
        <v>511</v>
      </c>
    </row>
    <row r="355" spans="1:7">
      <c r="A355" s="67">
        <v>5121</v>
      </c>
      <c r="B355" s="66" t="s">
        <v>846</v>
      </c>
      <c r="C355" s="67">
        <v>6063</v>
      </c>
      <c r="D355" s="66" t="s">
        <v>843</v>
      </c>
      <c r="E355" s="66" t="s">
        <v>513</v>
      </c>
      <c r="F355" s="66" t="s">
        <v>845</v>
      </c>
      <c r="G355" s="66" t="s">
        <v>511</v>
      </c>
    </row>
    <row r="356" spans="1:7">
      <c r="A356" s="67">
        <v>5121</v>
      </c>
      <c r="B356" s="66" t="s">
        <v>844</v>
      </c>
      <c r="C356" s="67">
        <v>6064</v>
      </c>
      <c r="D356" s="66" t="s">
        <v>843</v>
      </c>
      <c r="E356" s="66" t="s">
        <v>513</v>
      </c>
      <c r="F356" s="66" t="s">
        <v>842</v>
      </c>
      <c r="G356" s="66" t="s">
        <v>511</v>
      </c>
    </row>
    <row r="357" spans="1:7">
      <c r="A357" s="67">
        <v>5500</v>
      </c>
      <c r="B357" s="66" t="s">
        <v>841</v>
      </c>
      <c r="C357" s="67">
        <v>550</v>
      </c>
      <c r="D357" s="66" t="s">
        <v>13</v>
      </c>
      <c r="E357" s="66" t="s">
        <v>840</v>
      </c>
      <c r="F357" s="66" t="s">
        <v>513</v>
      </c>
      <c r="G357" s="66" t="s">
        <v>511</v>
      </c>
    </row>
    <row r="358" spans="1:7">
      <c r="A358" s="67">
        <v>5500</v>
      </c>
      <c r="B358" s="66" t="s">
        <v>839</v>
      </c>
      <c r="C358" s="67">
        <v>551</v>
      </c>
      <c r="D358" s="66" t="s">
        <v>13</v>
      </c>
      <c r="E358" s="66" t="s">
        <v>531</v>
      </c>
      <c r="F358" s="66" t="s">
        <v>513</v>
      </c>
      <c r="G358" s="66" t="s">
        <v>511</v>
      </c>
    </row>
    <row r="359" spans="1:7">
      <c r="A359" s="67">
        <v>5501</v>
      </c>
      <c r="B359" s="66" t="s">
        <v>838</v>
      </c>
      <c r="C359" s="67">
        <v>558</v>
      </c>
      <c r="D359" s="66" t="s">
        <v>13</v>
      </c>
      <c r="E359" s="66" t="s">
        <v>766</v>
      </c>
      <c r="F359" s="66" t="s">
        <v>513</v>
      </c>
      <c r="G359" s="66" t="s">
        <v>511</v>
      </c>
    </row>
    <row r="360" spans="1:7">
      <c r="A360" s="67">
        <v>5600</v>
      </c>
      <c r="B360" s="66" t="s">
        <v>837</v>
      </c>
      <c r="C360" s="67">
        <v>767</v>
      </c>
      <c r="D360" s="66" t="s">
        <v>836</v>
      </c>
      <c r="E360" s="66" t="s">
        <v>835</v>
      </c>
      <c r="F360" s="66" t="s">
        <v>513</v>
      </c>
      <c r="G360" s="66" t="s">
        <v>511</v>
      </c>
    </row>
    <row r="361" spans="1:7">
      <c r="A361" s="67">
        <v>5600</v>
      </c>
      <c r="B361" s="66" t="s">
        <v>834</v>
      </c>
      <c r="C361" s="67">
        <v>768</v>
      </c>
      <c r="D361" s="66" t="s">
        <v>833</v>
      </c>
      <c r="E361" s="66" t="s">
        <v>832</v>
      </c>
      <c r="F361" s="66" t="s">
        <v>513</v>
      </c>
      <c r="G361" s="66" t="s">
        <v>511</v>
      </c>
    </row>
    <row r="362" spans="1:7">
      <c r="A362" s="67">
        <v>5701</v>
      </c>
      <c r="B362" s="66" t="s">
        <v>831</v>
      </c>
      <c r="C362" s="67">
        <v>10041</v>
      </c>
      <c r="D362" s="66" t="s">
        <v>830</v>
      </c>
      <c r="E362" s="66" t="s">
        <v>513</v>
      </c>
      <c r="F362" s="66" t="s">
        <v>829</v>
      </c>
      <c r="G362" s="66" t="s">
        <v>511</v>
      </c>
    </row>
    <row r="363" spans="1:7">
      <c r="A363" s="67">
        <v>5701</v>
      </c>
      <c r="B363" s="66" t="s">
        <v>828</v>
      </c>
      <c r="C363" s="67">
        <v>10001</v>
      </c>
      <c r="D363" s="66" t="s">
        <v>162</v>
      </c>
      <c r="E363" s="66" t="s">
        <v>534</v>
      </c>
      <c r="F363" s="66" t="s">
        <v>513</v>
      </c>
      <c r="G363" s="66" t="s">
        <v>511</v>
      </c>
    </row>
    <row r="364" spans="1:7">
      <c r="A364" s="67">
        <v>5702</v>
      </c>
      <c r="B364" s="66" t="s">
        <v>827</v>
      </c>
      <c r="C364" s="67">
        <v>20002</v>
      </c>
      <c r="D364" s="66" t="s">
        <v>826</v>
      </c>
      <c r="E364" s="66" t="s">
        <v>536</v>
      </c>
      <c r="F364" s="66" t="s">
        <v>513</v>
      </c>
      <c r="G364" s="66" t="s">
        <v>511</v>
      </c>
    </row>
    <row r="365" spans="1:7">
      <c r="A365" s="67">
        <v>5702</v>
      </c>
      <c r="B365" s="66" t="s">
        <v>825</v>
      </c>
      <c r="C365" s="67">
        <v>10002</v>
      </c>
      <c r="D365" s="66" t="s">
        <v>505</v>
      </c>
      <c r="E365" s="66" t="s">
        <v>824</v>
      </c>
      <c r="F365" s="66" t="s">
        <v>513</v>
      </c>
      <c r="G365" s="66" t="s">
        <v>517</v>
      </c>
    </row>
    <row r="366" spans="1:7">
      <c r="A366" s="67">
        <v>5703</v>
      </c>
      <c r="B366" s="66" t="s">
        <v>823</v>
      </c>
      <c r="C366" s="67">
        <v>10004</v>
      </c>
      <c r="D366" s="66" t="s">
        <v>183</v>
      </c>
      <c r="E366" s="66" t="s">
        <v>822</v>
      </c>
      <c r="F366" s="66" t="s">
        <v>513</v>
      </c>
      <c r="G366" s="66" t="s">
        <v>511</v>
      </c>
    </row>
    <row r="367" spans="1:7">
      <c r="A367" s="67">
        <v>5704</v>
      </c>
      <c r="B367" s="66" t="s">
        <v>821</v>
      </c>
      <c r="C367" s="67">
        <v>10005</v>
      </c>
      <c r="D367" s="66" t="s">
        <v>505</v>
      </c>
      <c r="E367" s="66" t="s">
        <v>820</v>
      </c>
      <c r="F367" s="66" t="s">
        <v>513</v>
      </c>
      <c r="G367" s="66" t="s">
        <v>511</v>
      </c>
    </row>
    <row r="368" spans="1:7">
      <c r="A368" s="67">
        <v>5704</v>
      </c>
      <c r="B368" s="66" t="s">
        <v>819</v>
      </c>
      <c r="C368" s="67">
        <v>10006</v>
      </c>
      <c r="D368" s="66" t="s">
        <v>505</v>
      </c>
      <c r="E368" s="66" t="s">
        <v>818</v>
      </c>
      <c r="F368" s="66" t="s">
        <v>513</v>
      </c>
      <c r="G368" s="66" t="s">
        <v>511</v>
      </c>
    </row>
    <row r="369" spans="1:7">
      <c r="A369" s="67">
        <v>5705</v>
      </c>
      <c r="B369" s="66" t="s">
        <v>814</v>
      </c>
      <c r="C369" s="67">
        <v>10045</v>
      </c>
      <c r="D369" s="66" t="s">
        <v>189</v>
      </c>
      <c r="E369" s="66" t="s">
        <v>693</v>
      </c>
      <c r="F369" s="66" t="s">
        <v>513</v>
      </c>
      <c r="G369" s="66" t="s">
        <v>511</v>
      </c>
    </row>
    <row r="370" spans="1:7">
      <c r="A370" s="67">
        <v>5705</v>
      </c>
      <c r="B370" s="66" t="s">
        <v>814</v>
      </c>
      <c r="C370" s="67">
        <v>10044</v>
      </c>
      <c r="D370" s="66" t="s">
        <v>189</v>
      </c>
      <c r="E370" s="66" t="s">
        <v>694</v>
      </c>
      <c r="F370" s="66" t="s">
        <v>513</v>
      </c>
      <c r="G370" s="66" t="s">
        <v>511</v>
      </c>
    </row>
    <row r="371" spans="1:7">
      <c r="A371" s="67">
        <v>5705</v>
      </c>
      <c r="B371" s="66" t="s">
        <v>814</v>
      </c>
      <c r="C371" s="67">
        <v>10043</v>
      </c>
      <c r="D371" s="66" t="s">
        <v>189</v>
      </c>
      <c r="E371" s="66" t="s">
        <v>815</v>
      </c>
      <c r="F371" s="66" t="s">
        <v>513</v>
      </c>
      <c r="G371" s="66" t="s">
        <v>511</v>
      </c>
    </row>
    <row r="372" spans="1:7">
      <c r="A372" s="67">
        <v>5705</v>
      </c>
      <c r="B372" s="66" t="s">
        <v>814</v>
      </c>
      <c r="C372" s="67">
        <v>10042</v>
      </c>
      <c r="D372" s="66" t="s">
        <v>505</v>
      </c>
      <c r="E372" s="66" t="s">
        <v>813</v>
      </c>
      <c r="F372" s="66" t="s">
        <v>513</v>
      </c>
      <c r="G372" s="66" t="s">
        <v>511</v>
      </c>
    </row>
    <row r="373" spans="1:7">
      <c r="A373" s="67">
        <v>5805</v>
      </c>
      <c r="B373" s="66" t="s">
        <v>791</v>
      </c>
      <c r="C373" s="67">
        <v>362</v>
      </c>
      <c r="D373" s="66" t="s">
        <v>790</v>
      </c>
      <c r="E373" s="66" t="s">
        <v>789</v>
      </c>
      <c r="F373" s="66" t="s">
        <v>513</v>
      </c>
      <c r="G373" s="66" t="s">
        <v>511</v>
      </c>
    </row>
    <row r="374" spans="1:7">
      <c r="A374" s="67">
        <v>7357</v>
      </c>
      <c r="B374" s="66" t="s">
        <v>784</v>
      </c>
      <c r="C374" s="67">
        <v>1777</v>
      </c>
      <c r="D374" s="66" t="s">
        <v>783</v>
      </c>
      <c r="E374" s="66" t="s">
        <v>782</v>
      </c>
      <c r="F374" s="66" t="s">
        <v>513</v>
      </c>
      <c r="G374" s="66" t="s">
        <v>511</v>
      </c>
    </row>
    <row r="375" spans="1:7">
      <c r="A375" s="67">
        <v>7357</v>
      </c>
      <c r="B375" s="66" t="s">
        <v>781</v>
      </c>
      <c r="C375" s="67">
        <v>1778</v>
      </c>
      <c r="D375" s="66" t="s">
        <v>505</v>
      </c>
      <c r="E375" s="66" t="s">
        <v>780</v>
      </c>
      <c r="F375" s="66" t="s">
        <v>513</v>
      </c>
      <c r="G375" s="66" t="s">
        <v>511</v>
      </c>
    </row>
    <row r="376" spans="1:7">
      <c r="A376" s="67">
        <v>8002</v>
      </c>
      <c r="B376" s="66" t="s">
        <v>779</v>
      </c>
      <c r="C376" s="67">
        <v>28162</v>
      </c>
      <c r="D376" s="66" t="s">
        <v>92</v>
      </c>
      <c r="E376" s="66" t="s">
        <v>778</v>
      </c>
      <c r="F376" s="66" t="s">
        <v>513</v>
      </c>
      <c r="G376" s="66" t="s">
        <v>511</v>
      </c>
    </row>
    <row r="377" spans="1:7">
      <c r="A377" s="67">
        <v>8002</v>
      </c>
      <c r="B377" s="66" t="s">
        <v>777</v>
      </c>
      <c r="C377" s="67">
        <v>28161</v>
      </c>
      <c r="D377" s="66" t="s">
        <v>92</v>
      </c>
      <c r="E377" s="66" t="s">
        <v>776</v>
      </c>
      <c r="F377" s="66" t="s">
        <v>513</v>
      </c>
      <c r="G377" s="66" t="s">
        <v>511</v>
      </c>
    </row>
    <row r="378" spans="1:7">
      <c r="A378" s="67">
        <v>9011</v>
      </c>
      <c r="B378" s="66" t="s">
        <v>775</v>
      </c>
      <c r="C378" s="67">
        <v>626</v>
      </c>
      <c r="D378" s="66" t="s">
        <v>774</v>
      </c>
      <c r="E378" s="66" t="s">
        <v>513</v>
      </c>
      <c r="F378" s="66" t="s">
        <v>773</v>
      </c>
      <c r="G378" s="66" t="s">
        <v>511</v>
      </c>
    </row>
    <row r="379" spans="1:7">
      <c r="A379" s="67">
        <v>9011</v>
      </c>
      <c r="B379" s="66" t="s">
        <v>772</v>
      </c>
      <c r="C379" s="67">
        <v>625</v>
      </c>
      <c r="D379" s="66" t="s">
        <v>771</v>
      </c>
      <c r="E379" s="66" t="s">
        <v>513</v>
      </c>
      <c r="F379" s="66" t="s">
        <v>770</v>
      </c>
      <c r="G379" s="66" t="s">
        <v>511</v>
      </c>
    </row>
    <row r="380" spans="1:7">
      <c r="A380" s="67">
        <v>9501</v>
      </c>
      <c r="B380" s="66" t="s">
        <v>768</v>
      </c>
      <c r="C380" s="67">
        <v>575</v>
      </c>
      <c r="D380" s="66" t="s">
        <v>532</v>
      </c>
      <c r="E380" s="66" t="s">
        <v>513</v>
      </c>
      <c r="F380" s="66" t="s">
        <v>769</v>
      </c>
      <c r="G380" s="66" t="s">
        <v>511</v>
      </c>
    </row>
    <row r="381" spans="1:7">
      <c r="A381" s="67">
        <v>9501</v>
      </c>
      <c r="B381" s="66" t="s">
        <v>768</v>
      </c>
      <c r="C381" s="67">
        <v>555</v>
      </c>
      <c r="D381" s="66" t="s">
        <v>767</v>
      </c>
      <c r="E381" s="66" t="s">
        <v>513</v>
      </c>
      <c r="F381" s="66" t="s">
        <v>766</v>
      </c>
      <c r="G381" s="66" t="s">
        <v>511</v>
      </c>
    </row>
    <row r="382" spans="1:7">
      <c r="A382" s="67">
        <v>9735</v>
      </c>
      <c r="B382" s="66" t="s">
        <v>533</v>
      </c>
      <c r="C382" s="67">
        <v>552</v>
      </c>
      <c r="D382" s="66" t="s">
        <v>765</v>
      </c>
      <c r="E382" s="66" t="s">
        <v>513</v>
      </c>
      <c r="F382" s="66" t="s">
        <v>764</v>
      </c>
      <c r="G382" s="66" t="s">
        <v>511</v>
      </c>
    </row>
    <row r="383" spans="1:7">
      <c r="A383" s="67">
        <v>9735</v>
      </c>
      <c r="B383" s="66" t="s">
        <v>763</v>
      </c>
      <c r="C383" s="67">
        <v>3412</v>
      </c>
      <c r="D383" s="66" t="s">
        <v>762</v>
      </c>
      <c r="E383" s="66" t="s">
        <v>761</v>
      </c>
      <c r="F383" s="66" t="s">
        <v>513</v>
      </c>
      <c r="G383" s="66" t="s">
        <v>511</v>
      </c>
    </row>
    <row r="384" spans="1:7">
      <c r="A384" s="67">
        <v>9735</v>
      </c>
      <c r="B384" s="66" t="s">
        <v>760</v>
      </c>
      <c r="C384" s="67">
        <v>910</v>
      </c>
      <c r="D384" s="66" t="s">
        <v>505</v>
      </c>
      <c r="E384" s="66" t="s">
        <v>759</v>
      </c>
      <c r="F384" s="66" t="s">
        <v>513</v>
      </c>
      <c r="G384" s="66" t="s">
        <v>511</v>
      </c>
    </row>
    <row r="385" spans="1:7">
      <c r="A385" s="67">
        <v>9735</v>
      </c>
      <c r="B385" s="66" t="s">
        <v>758</v>
      </c>
      <c r="C385" s="67">
        <v>920</v>
      </c>
      <c r="D385" s="66" t="s">
        <v>505</v>
      </c>
      <c r="E385" s="66" t="s">
        <v>513</v>
      </c>
      <c r="F385" s="66" t="s">
        <v>757</v>
      </c>
      <c r="G385" s="66" t="s">
        <v>511</v>
      </c>
    </row>
    <row r="386" spans="1:7">
      <c r="A386" s="67">
        <v>9925</v>
      </c>
      <c r="B386" s="66" t="s">
        <v>756</v>
      </c>
      <c r="C386" s="67">
        <v>769</v>
      </c>
      <c r="D386" s="66" t="s">
        <v>75</v>
      </c>
      <c r="E386" s="66" t="s">
        <v>513</v>
      </c>
      <c r="F386" s="66" t="s">
        <v>755</v>
      </c>
      <c r="G386" s="66" t="s">
        <v>511</v>
      </c>
    </row>
    <row r="387" spans="1:7">
      <c r="A387" s="67">
        <v>9925</v>
      </c>
      <c r="B387" s="66" t="s">
        <v>754</v>
      </c>
      <c r="C387" s="67">
        <v>561</v>
      </c>
      <c r="D387" s="66" t="s">
        <v>753</v>
      </c>
      <c r="E387" s="66" t="s">
        <v>513</v>
      </c>
      <c r="F387" s="66" t="s">
        <v>752</v>
      </c>
      <c r="G387" s="66" t="s">
        <v>511</v>
      </c>
    </row>
    <row r="388" spans="1:7">
      <c r="A388" s="67">
        <v>9925</v>
      </c>
      <c r="B388" s="66" t="s">
        <v>751</v>
      </c>
      <c r="C388" s="67">
        <v>770</v>
      </c>
      <c r="D388" s="66" t="s">
        <v>750</v>
      </c>
      <c r="E388" s="66" t="s">
        <v>513</v>
      </c>
      <c r="F388" s="66" t="s">
        <v>749</v>
      </c>
      <c r="G388" s="66" t="s">
        <v>511</v>
      </c>
    </row>
    <row r="389" spans="1:7">
      <c r="A389" s="67">
        <v>9961</v>
      </c>
      <c r="B389" s="66" t="s">
        <v>723</v>
      </c>
      <c r="C389" s="67">
        <v>940</v>
      </c>
      <c r="D389" s="66" t="s">
        <v>722</v>
      </c>
      <c r="E389" s="66" t="s">
        <v>721</v>
      </c>
      <c r="F389" s="66" t="s">
        <v>513</v>
      </c>
      <c r="G389" s="66" t="s">
        <v>511</v>
      </c>
    </row>
    <row r="390" spans="1:7">
      <c r="A390" s="67">
        <v>9972</v>
      </c>
      <c r="B390" s="66" t="s">
        <v>692</v>
      </c>
      <c r="C390" s="67">
        <v>10143</v>
      </c>
      <c r="D390" s="66" t="s">
        <v>696</v>
      </c>
      <c r="E390" s="66" t="s">
        <v>513</v>
      </c>
      <c r="F390" s="66" t="s">
        <v>695</v>
      </c>
      <c r="G390" s="66" t="s">
        <v>511</v>
      </c>
    </row>
    <row r="391" spans="1:7">
      <c r="A391" s="67">
        <v>9972</v>
      </c>
      <c r="B391" s="66" t="s">
        <v>692</v>
      </c>
      <c r="C391" s="67">
        <v>10144</v>
      </c>
      <c r="D391" s="66" t="s">
        <v>13</v>
      </c>
      <c r="E391" s="66" t="s">
        <v>513</v>
      </c>
      <c r="F391" s="66" t="s">
        <v>694</v>
      </c>
      <c r="G391" s="66" t="s">
        <v>511</v>
      </c>
    </row>
    <row r="392" spans="1:7">
      <c r="A392" s="67">
        <v>9972</v>
      </c>
      <c r="B392" s="66" t="s">
        <v>692</v>
      </c>
      <c r="C392" s="67">
        <v>10145</v>
      </c>
      <c r="D392" s="66" t="s">
        <v>13</v>
      </c>
      <c r="E392" s="66" t="s">
        <v>513</v>
      </c>
      <c r="F392" s="66" t="s">
        <v>693</v>
      </c>
      <c r="G392" s="66" t="s">
        <v>511</v>
      </c>
    </row>
    <row r="393" spans="1:7">
      <c r="A393" s="67">
        <v>9972</v>
      </c>
      <c r="B393" s="66" t="s">
        <v>692</v>
      </c>
      <c r="C393" s="67">
        <v>10142</v>
      </c>
      <c r="D393" s="66" t="s">
        <v>516</v>
      </c>
      <c r="E393" s="66" t="s">
        <v>513</v>
      </c>
      <c r="F393" s="66" t="s">
        <v>691</v>
      </c>
      <c r="G393" s="66" t="s">
        <v>511</v>
      </c>
    </row>
    <row r="394" spans="1:7">
      <c r="A394" s="67">
        <v>9973</v>
      </c>
      <c r="B394" s="66" t="s">
        <v>690</v>
      </c>
      <c r="C394" s="67">
        <v>10014</v>
      </c>
      <c r="D394" s="66" t="s">
        <v>689</v>
      </c>
      <c r="E394" s="66" t="s">
        <v>513</v>
      </c>
      <c r="F394" s="66" t="s">
        <v>688</v>
      </c>
      <c r="G394" s="66" t="s">
        <v>511</v>
      </c>
    </row>
    <row r="395" spans="1:7">
      <c r="A395" s="67">
        <v>9975</v>
      </c>
      <c r="B395" s="66" t="s">
        <v>665</v>
      </c>
      <c r="C395" s="67">
        <v>20151</v>
      </c>
      <c r="D395" s="66" t="s">
        <v>593</v>
      </c>
      <c r="E395" s="66" t="s">
        <v>513</v>
      </c>
      <c r="F395" s="66" t="s">
        <v>664</v>
      </c>
      <c r="G395" s="66" t="s">
        <v>511</v>
      </c>
    </row>
    <row r="396" spans="1:7">
      <c r="A396" s="67">
        <v>9975</v>
      </c>
      <c r="B396" s="66" t="s">
        <v>663</v>
      </c>
      <c r="C396" s="67">
        <v>20152</v>
      </c>
      <c r="D396" s="66" t="s">
        <v>593</v>
      </c>
      <c r="E396" s="66" t="s">
        <v>513</v>
      </c>
      <c r="F396" s="66" t="s">
        <v>662</v>
      </c>
      <c r="G396" s="66" t="s">
        <v>511</v>
      </c>
    </row>
    <row r="397" spans="1:7">
      <c r="A397" s="67">
        <v>9975</v>
      </c>
      <c r="B397" s="66" t="s">
        <v>661</v>
      </c>
      <c r="C397" s="67">
        <v>20153</v>
      </c>
      <c r="D397" s="66" t="s">
        <v>593</v>
      </c>
      <c r="E397" s="66" t="s">
        <v>513</v>
      </c>
      <c r="F397" s="66" t="s">
        <v>660</v>
      </c>
      <c r="G397" s="66" t="s">
        <v>511</v>
      </c>
    </row>
    <row r="398" spans="1:7">
      <c r="A398" s="67">
        <v>9975</v>
      </c>
      <c r="B398" s="66" t="s">
        <v>659</v>
      </c>
      <c r="C398" s="67">
        <v>20154</v>
      </c>
      <c r="D398" s="66" t="s">
        <v>593</v>
      </c>
      <c r="E398" s="66" t="s">
        <v>513</v>
      </c>
      <c r="F398" s="66" t="s">
        <v>658</v>
      </c>
      <c r="G398" s="66" t="s">
        <v>511</v>
      </c>
    </row>
    <row r="399" spans="1:7">
      <c r="A399" s="67">
        <v>9975</v>
      </c>
      <c r="B399" s="66" t="s">
        <v>657</v>
      </c>
      <c r="C399" s="67">
        <v>20155</v>
      </c>
      <c r="D399" s="66" t="s">
        <v>593</v>
      </c>
      <c r="E399" s="66" t="s">
        <v>513</v>
      </c>
      <c r="F399" s="66" t="s">
        <v>656</v>
      </c>
      <c r="G399" s="66" t="s">
        <v>517</v>
      </c>
    </row>
    <row r="400" spans="1:7">
      <c r="A400" s="67">
        <v>9975</v>
      </c>
      <c r="B400" s="66" t="s">
        <v>655</v>
      </c>
      <c r="C400" s="67">
        <v>20156</v>
      </c>
      <c r="D400" s="66" t="s">
        <v>593</v>
      </c>
      <c r="E400" s="66" t="s">
        <v>513</v>
      </c>
      <c r="F400" s="66" t="s">
        <v>654</v>
      </c>
      <c r="G400" s="66" t="s">
        <v>517</v>
      </c>
    </row>
    <row r="401" spans="1:7">
      <c r="A401" s="67">
        <v>9975</v>
      </c>
      <c r="B401" s="66" t="s">
        <v>653</v>
      </c>
      <c r="C401" s="67">
        <v>20157</v>
      </c>
      <c r="D401" s="66" t="s">
        <v>593</v>
      </c>
      <c r="E401" s="66" t="s">
        <v>513</v>
      </c>
      <c r="F401" s="66" t="s">
        <v>652</v>
      </c>
      <c r="G401" s="66" t="s">
        <v>517</v>
      </c>
    </row>
    <row r="402" spans="1:7">
      <c r="A402" s="67">
        <v>9975</v>
      </c>
      <c r="B402" s="66" t="s">
        <v>651</v>
      </c>
      <c r="C402" s="67">
        <v>20158</v>
      </c>
      <c r="D402" s="66" t="s">
        <v>593</v>
      </c>
      <c r="E402" s="66" t="s">
        <v>513</v>
      </c>
      <c r="F402" s="66" t="s">
        <v>650</v>
      </c>
      <c r="G402" s="66" t="s">
        <v>611</v>
      </c>
    </row>
    <row r="403" spans="1:7">
      <c r="A403" s="67">
        <v>9975</v>
      </c>
      <c r="B403" s="66" t="s">
        <v>649</v>
      </c>
      <c r="C403" s="67">
        <v>20159</v>
      </c>
      <c r="D403" s="66" t="s">
        <v>593</v>
      </c>
      <c r="E403" s="66" t="s">
        <v>513</v>
      </c>
      <c r="F403" s="66" t="s">
        <v>648</v>
      </c>
      <c r="G403" s="66" t="s">
        <v>611</v>
      </c>
    </row>
    <row r="404" spans="1:7">
      <c r="A404" s="67">
        <v>9975</v>
      </c>
      <c r="B404" s="66" t="s">
        <v>647</v>
      </c>
      <c r="C404" s="67">
        <v>20160</v>
      </c>
      <c r="D404" s="66" t="s">
        <v>593</v>
      </c>
      <c r="E404" s="66" t="s">
        <v>513</v>
      </c>
      <c r="F404" s="66" t="s">
        <v>646</v>
      </c>
      <c r="G404" s="66" t="s">
        <v>611</v>
      </c>
    </row>
    <row r="405" spans="1:7">
      <c r="A405" s="67">
        <v>9975</v>
      </c>
      <c r="B405" s="66" t="s">
        <v>645</v>
      </c>
      <c r="C405" s="67">
        <v>20161</v>
      </c>
      <c r="D405" s="66" t="s">
        <v>593</v>
      </c>
      <c r="E405" s="66" t="s">
        <v>513</v>
      </c>
      <c r="F405" s="66" t="s">
        <v>644</v>
      </c>
      <c r="G405" s="66" t="s">
        <v>611</v>
      </c>
    </row>
    <row r="406" spans="1:7">
      <c r="A406" s="67">
        <v>9975</v>
      </c>
      <c r="B406" s="66" t="s">
        <v>643</v>
      </c>
      <c r="C406" s="67">
        <v>20162</v>
      </c>
      <c r="D406" s="66" t="s">
        <v>593</v>
      </c>
      <c r="E406" s="66" t="s">
        <v>513</v>
      </c>
      <c r="F406" s="66" t="s">
        <v>642</v>
      </c>
      <c r="G406" s="66" t="s">
        <v>511</v>
      </c>
    </row>
    <row r="407" spans="1:7">
      <c r="A407" s="67">
        <v>9975</v>
      </c>
      <c r="B407" s="66" t="s">
        <v>641</v>
      </c>
      <c r="C407" s="67">
        <v>20163</v>
      </c>
      <c r="D407" s="66" t="s">
        <v>593</v>
      </c>
      <c r="E407" s="66" t="s">
        <v>513</v>
      </c>
      <c r="F407" s="66" t="s">
        <v>640</v>
      </c>
      <c r="G407" s="66" t="s">
        <v>511</v>
      </c>
    </row>
    <row r="408" spans="1:7">
      <c r="A408" s="67">
        <v>9975</v>
      </c>
      <c r="B408" s="66" t="s">
        <v>639</v>
      </c>
      <c r="C408" s="67">
        <v>20164</v>
      </c>
      <c r="D408" s="66" t="s">
        <v>593</v>
      </c>
      <c r="E408" s="66" t="s">
        <v>513</v>
      </c>
      <c r="F408" s="66" t="s">
        <v>638</v>
      </c>
      <c r="G408" s="66" t="s">
        <v>511</v>
      </c>
    </row>
    <row r="409" spans="1:7">
      <c r="A409" s="67">
        <v>9975</v>
      </c>
      <c r="B409" s="66" t="s">
        <v>637</v>
      </c>
      <c r="C409" s="67">
        <v>20165</v>
      </c>
      <c r="D409" s="66" t="s">
        <v>593</v>
      </c>
      <c r="E409" s="66" t="s">
        <v>513</v>
      </c>
      <c r="F409" s="66" t="s">
        <v>636</v>
      </c>
      <c r="G409" s="66" t="s">
        <v>511</v>
      </c>
    </row>
    <row r="410" spans="1:7">
      <c r="A410" s="67">
        <v>9975</v>
      </c>
      <c r="B410" s="66" t="s">
        <v>635</v>
      </c>
      <c r="C410" s="67">
        <v>20166</v>
      </c>
      <c r="D410" s="66" t="s">
        <v>593</v>
      </c>
      <c r="E410" s="66" t="s">
        <v>513</v>
      </c>
      <c r="F410" s="66" t="s">
        <v>634</v>
      </c>
      <c r="G410" s="66" t="s">
        <v>511</v>
      </c>
    </row>
    <row r="411" spans="1:7">
      <c r="A411" s="67">
        <v>9975</v>
      </c>
      <c r="B411" s="66" t="s">
        <v>633</v>
      </c>
      <c r="C411" s="67">
        <v>20167</v>
      </c>
      <c r="D411" s="66" t="s">
        <v>593</v>
      </c>
      <c r="E411" s="66" t="s">
        <v>513</v>
      </c>
      <c r="F411" s="66" t="s">
        <v>632</v>
      </c>
      <c r="G411" s="66" t="s">
        <v>511</v>
      </c>
    </row>
    <row r="412" spans="1:7">
      <c r="A412" s="67">
        <v>9975</v>
      </c>
      <c r="B412" s="66" t="s">
        <v>631</v>
      </c>
      <c r="C412" s="67">
        <v>20168</v>
      </c>
      <c r="D412" s="66" t="s">
        <v>593</v>
      </c>
      <c r="E412" s="66" t="s">
        <v>513</v>
      </c>
      <c r="F412" s="66" t="s">
        <v>630</v>
      </c>
      <c r="G412" s="66" t="s">
        <v>511</v>
      </c>
    </row>
    <row r="413" spans="1:7">
      <c r="A413" s="67">
        <v>9975</v>
      </c>
      <c r="B413" s="66" t="s">
        <v>629</v>
      </c>
      <c r="C413" s="67">
        <v>20169</v>
      </c>
      <c r="D413" s="66" t="s">
        <v>593</v>
      </c>
      <c r="E413" s="66" t="s">
        <v>513</v>
      </c>
      <c r="F413" s="66" t="s">
        <v>628</v>
      </c>
      <c r="G413" s="66" t="s">
        <v>511</v>
      </c>
    </row>
    <row r="414" spans="1:7">
      <c r="A414" s="67">
        <v>9975</v>
      </c>
      <c r="B414" s="66" t="s">
        <v>627</v>
      </c>
      <c r="C414" s="67">
        <v>20170</v>
      </c>
      <c r="D414" s="66" t="s">
        <v>593</v>
      </c>
      <c r="E414" s="66" t="s">
        <v>513</v>
      </c>
      <c r="F414" s="66" t="s">
        <v>626</v>
      </c>
      <c r="G414" s="66" t="s">
        <v>517</v>
      </c>
    </row>
    <row r="415" spans="1:7">
      <c r="A415" s="67">
        <v>9975</v>
      </c>
      <c r="B415" s="66" t="s">
        <v>625</v>
      </c>
      <c r="C415" s="67">
        <v>20171</v>
      </c>
      <c r="D415" s="66" t="s">
        <v>593</v>
      </c>
      <c r="E415" s="66" t="s">
        <v>513</v>
      </c>
      <c r="F415" s="66" t="s">
        <v>624</v>
      </c>
      <c r="G415" s="66" t="s">
        <v>517</v>
      </c>
    </row>
    <row r="416" spans="1:7">
      <c r="A416" s="67">
        <v>9975</v>
      </c>
      <c r="B416" s="66" t="s">
        <v>623</v>
      </c>
      <c r="C416" s="67">
        <v>20172</v>
      </c>
      <c r="D416" s="66" t="s">
        <v>593</v>
      </c>
      <c r="E416" s="66" t="s">
        <v>513</v>
      </c>
      <c r="F416" s="66" t="s">
        <v>622</v>
      </c>
      <c r="G416" s="66" t="s">
        <v>517</v>
      </c>
    </row>
    <row r="417" spans="1:7">
      <c r="A417" s="67">
        <v>9975</v>
      </c>
      <c r="B417" s="66" t="s">
        <v>621</v>
      </c>
      <c r="C417" s="67">
        <v>20173</v>
      </c>
      <c r="D417" s="66" t="s">
        <v>593</v>
      </c>
      <c r="E417" s="66" t="s">
        <v>513</v>
      </c>
      <c r="F417" s="66" t="s">
        <v>620</v>
      </c>
      <c r="G417" s="66" t="s">
        <v>517</v>
      </c>
    </row>
    <row r="418" spans="1:7">
      <c r="A418" s="67">
        <v>9975</v>
      </c>
      <c r="B418" s="66" t="s">
        <v>619</v>
      </c>
      <c r="C418" s="67">
        <v>20174</v>
      </c>
      <c r="D418" s="66" t="s">
        <v>593</v>
      </c>
      <c r="E418" s="66" t="s">
        <v>513</v>
      </c>
      <c r="F418" s="66" t="s">
        <v>618</v>
      </c>
      <c r="G418" s="66" t="s">
        <v>611</v>
      </c>
    </row>
    <row r="419" spans="1:7">
      <c r="A419" s="67">
        <v>9975</v>
      </c>
      <c r="B419" s="66" t="s">
        <v>617</v>
      </c>
      <c r="C419" s="67">
        <v>20175</v>
      </c>
      <c r="D419" s="66" t="s">
        <v>593</v>
      </c>
      <c r="E419" s="66" t="s">
        <v>513</v>
      </c>
      <c r="F419" s="66" t="s">
        <v>616</v>
      </c>
      <c r="G419" s="66" t="s">
        <v>611</v>
      </c>
    </row>
    <row r="420" spans="1:7">
      <c r="A420" s="67">
        <v>9975</v>
      </c>
      <c r="B420" s="66" t="s">
        <v>615</v>
      </c>
      <c r="C420" s="67">
        <v>20176</v>
      </c>
      <c r="D420" s="66" t="s">
        <v>593</v>
      </c>
      <c r="E420" s="66" t="s">
        <v>513</v>
      </c>
      <c r="F420" s="66" t="s">
        <v>614</v>
      </c>
      <c r="G420" s="66" t="s">
        <v>611</v>
      </c>
    </row>
    <row r="421" spans="1:7">
      <c r="A421" s="67">
        <v>9975</v>
      </c>
      <c r="B421" s="66" t="s">
        <v>613</v>
      </c>
      <c r="C421" s="67">
        <v>20177</v>
      </c>
      <c r="D421" s="66" t="s">
        <v>593</v>
      </c>
      <c r="E421" s="66" t="s">
        <v>513</v>
      </c>
      <c r="F421" s="66" t="s">
        <v>612</v>
      </c>
      <c r="G421" s="66" t="s">
        <v>611</v>
      </c>
    </row>
    <row r="422" spans="1:7">
      <c r="A422" s="67">
        <v>9975</v>
      </c>
      <c r="B422" s="66" t="s">
        <v>610</v>
      </c>
      <c r="C422" s="67">
        <v>20178</v>
      </c>
      <c r="D422" s="66" t="s">
        <v>593</v>
      </c>
      <c r="E422" s="66" t="s">
        <v>513</v>
      </c>
      <c r="F422" s="66" t="s">
        <v>609</v>
      </c>
      <c r="G422" s="66" t="s">
        <v>511</v>
      </c>
    </row>
    <row r="423" spans="1:7">
      <c r="A423" s="67">
        <v>9975</v>
      </c>
      <c r="B423" s="66" t="s">
        <v>608</v>
      </c>
      <c r="C423" s="67">
        <v>20179</v>
      </c>
      <c r="D423" s="66" t="s">
        <v>593</v>
      </c>
      <c r="E423" s="66" t="s">
        <v>513</v>
      </c>
      <c r="F423" s="66" t="s">
        <v>607</v>
      </c>
      <c r="G423" s="66" t="s">
        <v>511</v>
      </c>
    </row>
    <row r="424" spans="1:7">
      <c r="A424" s="67">
        <v>9975</v>
      </c>
      <c r="B424" s="66" t="s">
        <v>606</v>
      </c>
      <c r="C424" s="67">
        <v>20180</v>
      </c>
      <c r="D424" s="66" t="s">
        <v>593</v>
      </c>
      <c r="E424" s="66" t="s">
        <v>513</v>
      </c>
      <c r="F424" s="66" t="s">
        <v>605</v>
      </c>
      <c r="G424" s="66" t="s">
        <v>511</v>
      </c>
    </row>
    <row r="425" spans="1:7">
      <c r="A425" s="67">
        <v>9975</v>
      </c>
      <c r="B425" s="66" t="s">
        <v>604</v>
      </c>
      <c r="C425" s="67">
        <v>20181</v>
      </c>
      <c r="D425" s="66" t="s">
        <v>593</v>
      </c>
      <c r="E425" s="66" t="s">
        <v>513</v>
      </c>
      <c r="F425" s="66" t="s">
        <v>603</v>
      </c>
      <c r="G425" s="66" t="s">
        <v>511</v>
      </c>
    </row>
    <row r="426" spans="1:7">
      <c r="A426" s="67">
        <v>9975</v>
      </c>
      <c r="B426" s="66" t="s">
        <v>602</v>
      </c>
      <c r="C426" s="67">
        <v>20182</v>
      </c>
      <c r="D426" s="66" t="s">
        <v>593</v>
      </c>
      <c r="E426" s="66" t="s">
        <v>513</v>
      </c>
      <c r="F426" s="66" t="s">
        <v>601</v>
      </c>
      <c r="G426" s="66" t="s">
        <v>511</v>
      </c>
    </row>
    <row r="427" spans="1:7">
      <c r="A427" s="67">
        <v>9975</v>
      </c>
      <c r="B427" s="66" t="s">
        <v>600</v>
      </c>
      <c r="C427" s="67">
        <v>20183</v>
      </c>
      <c r="D427" s="66" t="s">
        <v>593</v>
      </c>
      <c r="E427" s="66" t="s">
        <v>513</v>
      </c>
      <c r="F427" s="66" t="s">
        <v>599</v>
      </c>
      <c r="G427" s="66" t="s">
        <v>511</v>
      </c>
    </row>
    <row r="428" spans="1:7">
      <c r="A428" s="67">
        <v>9975</v>
      </c>
      <c r="B428" s="66" t="s">
        <v>598</v>
      </c>
      <c r="C428" s="67">
        <v>20184</v>
      </c>
      <c r="D428" s="66" t="s">
        <v>593</v>
      </c>
      <c r="E428" s="66" t="s">
        <v>513</v>
      </c>
      <c r="F428" s="66" t="s">
        <v>597</v>
      </c>
      <c r="G428" s="66" t="s">
        <v>511</v>
      </c>
    </row>
    <row r="429" spans="1:7">
      <c r="A429" s="67">
        <v>9975</v>
      </c>
      <c r="B429" s="66" t="s">
        <v>596</v>
      </c>
      <c r="C429" s="67">
        <v>20185</v>
      </c>
      <c r="D429" s="66" t="s">
        <v>593</v>
      </c>
      <c r="E429" s="66" t="s">
        <v>513</v>
      </c>
      <c r="F429" s="66" t="s">
        <v>595</v>
      </c>
      <c r="G429" s="66" t="s">
        <v>511</v>
      </c>
    </row>
    <row r="430" spans="1:7">
      <c r="A430" s="67">
        <v>9975</v>
      </c>
      <c r="B430" s="66" t="s">
        <v>594</v>
      </c>
      <c r="C430" s="67">
        <v>20186</v>
      </c>
      <c r="D430" s="66" t="s">
        <v>593</v>
      </c>
      <c r="E430" s="66" t="s">
        <v>513</v>
      </c>
      <c r="F430" s="66" t="s">
        <v>592</v>
      </c>
      <c r="G430" s="66" t="s">
        <v>517</v>
      </c>
    </row>
    <row r="431" spans="1:7">
      <c r="A431" s="67">
        <v>9975</v>
      </c>
      <c r="B431" s="66" t="s">
        <v>589</v>
      </c>
      <c r="C431" s="67">
        <v>10019</v>
      </c>
      <c r="D431" s="66" t="s">
        <v>13</v>
      </c>
      <c r="E431" s="66" t="s">
        <v>513</v>
      </c>
      <c r="F431" s="66" t="s">
        <v>588</v>
      </c>
    </row>
    <row r="432" spans="1:7">
      <c r="A432" s="67">
        <v>9976</v>
      </c>
      <c r="B432" s="66" t="s">
        <v>537</v>
      </c>
      <c r="C432" s="67">
        <v>10012</v>
      </c>
      <c r="D432" s="66" t="s">
        <v>527</v>
      </c>
      <c r="E432" s="66" t="s">
        <v>513</v>
      </c>
      <c r="F432" s="66" t="s">
        <v>536</v>
      </c>
      <c r="G432" s="66" t="s">
        <v>511</v>
      </c>
    </row>
    <row r="433" spans="1:7">
      <c r="A433" s="67">
        <v>9977</v>
      </c>
      <c r="B433" s="66" t="s">
        <v>535</v>
      </c>
      <c r="C433" s="67">
        <v>10011</v>
      </c>
      <c r="D433" s="66" t="s">
        <v>13</v>
      </c>
      <c r="E433" s="66" t="s">
        <v>513</v>
      </c>
      <c r="F433" s="66" t="s">
        <v>534</v>
      </c>
      <c r="G433" s="66" t="s">
        <v>511</v>
      </c>
    </row>
    <row r="434" spans="1:7">
      <c r="A434" s="67">
        <v>9979</v>
      </c>
      <c r="B434" s="66" t="s">
        <v>533</v>
      </c>
      <c r="C434" s="67">
        <v>574</v>
      </c>
      <c r="D434" s="66" t="s">
        <v>532</v>
      </c>
      <c r="E434" s="66" t="s">
        <v>513</v>
      </c>
      <c r="F434" s="66" t="s">
        <v>531</v>
      </c>
      <c r="G434" s="66" t="s">
        <v>511</v>
      </c>
    </row>
    <row r="435" spans="1:7">
      <c r="A435" s="67">
        <v>9980</v>
      </c>
      <c r="B435" s="66" t="s">
        <v>530</v>
      </c>
      <c r="C435" s="67">
        <v>670</v>
      </c>
      <c r="D435" s="66" t="s">
        <v>527</v>
      </c>
      <c r="E435" s="66" t="s">
        <v>513</v>
      </c>
      <c r="F435" s="66" t="s">
        <v>529</v>
      </c>
      <c r="G435" s="66" t="s">
        <v>511</v>
      </c>
    </row>
    <row r="436" spans="1:7">
      <c r="A436" s="67">
        <v>9980</v>
      </c>
      <c r="B436" s="66" t="s">
        <v>528</v>
      </c>
      <c r="C436" s="67">
        <v>669</v>
      </c>
      <c r="D436" s="66" t="s">
        <v>527</v>
      </c>
      <c r="E436" s="66" t="s">
        <v>513</v>
      </c>
      <c r="F436" s="66" t="s">
        <v>526</v>
      </c>
      <c r="G436" s="66" t="s">
        <v>511</v>
      </c>
    </row>
    <row r="437" spans="1:7">
      <c r="A437" s="67">
        <v>9985</v>
      </c>
      <c r="B437" s="66" t="s">
        <v>514</v>
      </c>
      <c r="C437" s="67">
        <v>463</v>
      </c>
      <c r="D437" s="66" t="s">
        <v>516</v>
      </c>
      <c r="E437" s="66" t="s">
        <v>513</v>
      </c>
      <c r="F437" s="66" t="s">
        <v>515</v>
      </c>
      <c r="G437" s="66" t="s">
        <v>511</v>
      </c>
    </row>
    <row r="438" spans="1:7">
      <c r="A438" s="67">
        <v>9985</v>
      </c>
      <c r="B438" s="66" t="s">
        <v>514</v>
      </c>
      <c r="C438" s="67">
        <v>462</v>
      </c>
      <c r="D438" s="66" t="s">
        <v>13</v>
      </c>
      <c r="E438" s="66" t="s">
        <v>513</v>
      </c>
      <c r="F438" s="66" t="s">
        <v>512</v>
      </c>
      <c r="G438" s="66" t="s">
        <v>511</v>
      </c>
    </row>
  </sheetData>
  <autoFilter ref="A1:H438" xr:uid="{00000000-0009-0000-0000-000003000000}">
    <sortState xmlns:xlrd2="http://schemas.microsoft.com/office/spreadsheetml/2017/richdata2" ref="A2:H438">
      <sortCondition ref="H2:H438"/>
      <sortCondition ref="A2:A438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4:F65"/>
  <sheetViews>
    <sheetView topLeftCell="A7" workbookViewId="0">
      <selection activeCell="G16" sqref="G16"/>
    </sheetView>
  </sheetViews>
  <sheetFormatPr defaultColWidth="10.90625" defaultRowHeight="14.5"/>
  <cols>
    <col min="4" max="4" width="42.6328125" customWidth="1"/>
    <col min="5" max="5" width="4" customWidth="1"/>
    <col min="9" max="9" width="17.1796875" bestFit="1" customWidth="1"/>
  </cols>
  <sheetData>
    <row r="4" spans="4:5">
      <c r="D4" s="112" t="s">
        <v>495</v>
      </c>
      <c r="E4" t="s">
        <v>497</v>
      </c>
    </row>
    <row r="6" spans="4:5">
      <c r="D6" s="112" t="s">
        <v>1261</v>
      </c>
    </row>
    <row r="7" spans="4:5">
      <c r="D7" s="113">
        <v>1</v>
      </c>
    </row>
    <row r="8" spans="4:5">
      <c r="D8" s="123" t="s">
        <v>220</v>
      </c>
    </row>
    <row r="9" spans="4:5">
      <c r="D9" s="113">
        <v>3</v>
      </c>
    </row>
    <row r="10" spans="4:5">
      <c r="D10" s="123" t="s">
        <v>36</v>
      </c>
    </row>
    <row r="11" spans="4:5">
      <c r="D11" s="113">
        <v>5</v>
      </c>
    </row>
    <row r="12" spans="4:5">
      <c r="D12" s="123" t="s">
        <v>129</v>
      </c>
    </row>
    <row r="13" spans="4:5">
      <c r="D13" s="113">
        <v>6</v>
      </c>
    </row>
    <row r="14" spans="4:5">
      <c r="D14" s="123" t="s">
        <v>384</v>
      </c>
    </row>
    <row r="15" spans="4:5">
      <c r="D15" s="113">
        <v>7</v>
      </c>
    </row>
    <row r="16" spans="4:5">
      <c r="D16" s="123" t="s">
        <v>385</v>
      </c>
    </row>
    <row r="17" spans="4:4">
      <c r="D17" s="113">
        <v>8</v>
      </c>
    </row>
    <row r="18" spans="4:4">
      <c r="D18" s="123" t="s">
        <v>467</v>
      </c>
    </row>
    <row r="19" spans="4:4">
      <c r="D19" s="113">
        <v>9</v>
      </c>
    </row>
    <row r="20" spans="4:4">
      <c r="D20" s="123" t="s">
        <v>80</v>
      </c>
    </row>
    <row r="21" spans="4:4">
      <c r="D21" s="113">
        <v>10</v>
      </c>
    </row>
    <row r="22" spans="4:4">
      <c r="D22" s="123" t="s">
        <v>503</v>
      </c>
    </row>
    <row r="23" spans="4:4">
      <c r="D23" s="113">
        <v>11</v>
      </c>
    </row>
    <row r="24" spans="4:4">
      <c r="D24" s="123" t="s">
        <v>452</v>
      </c>
    </row>
    <row r="25" spans="4:4">
      <c r="D25" s="113">
        <v>12</v>
      </c>
    </row>
    <row r="26" spans="4:4">
      <c r="D26" s="123" t="s">
        <v>106</v>
      </c>
    </row>
    <row r="27" spans="4:4">
      <c r="D27" s="113">
        <v>13</v>
      </c>
    </row>
    <row r="28" spans="4:4">
      <c r="D28" s="123" t="s">
        <v>1254</v>
      </c>
    </row>
    <row r="29" spans="4:4">
      <c r="D29" s="113">
        <v>14</v>
      </c>
    </row>
    <row r="30" spans="4:4">
      <c r="D30" s="123" t="s">
        <v>446</v>
      </c>
    </row>
    <row r="31" spans="4:4">
      <c r="D31" s="113">
        <v>15</v>
      </c>
    </row>
    <row r="32" spans="4:4">
      <c r="D32" s="123" t="s">
        <v>399</v>
      </c>
    </row>
    <row r="33" spans="4:4">
      <c r="D33" s="113">
        <v>16</v>
      </c>
    </row>
    <row r="34" spans="4:4">
      <c r="D34" s="123" t="s">
        <v>339</v>
      </c>
    </row>
    <row r="35" spans="4:4">
      <c r="D35" s="113">
        <v>18</v>
      </c>
    </row>
    <row r="36" spans="4:4">
      <c r="D36" s="123" t="s">
        <v>117</v>
      </c>
    </row>
    <row r="37" spans="4:4">
      <c r="D37" s="113">
        <v>22</v>
      </c>
    </row>
    <row r="38" spans="4:4">
      <c r="D38" s="123" t="s">
        <v>112</v>
      </c>
    </row>
    <row r="39" spans="4:4">
      <c r="D39" s="113">
        <v>25</v>
      </c>
    </row>
    <row r="40" spans="4:4">
      <c r="D40" s="123" t="s">
        <v>438</v>
      </c>
    </row>
    <row r="41" spans="4:4">
      <c r="D41" s="113">
        <v>26</v>
      </c>
    </row>
    <row r="42" spans="4:4">
      <c r="D42" s="123" t="s">
        <v>122</v>
      </c>
    </row>
    <row r="43" spans="4:4">
      <c r="D43" s="113">
        <v>34</v>
      </c>
    </row>
    <row r="44" spans="4:4">
      <c r="D44" s="123" t="s">
        <v>444</v>
      </c>
    </row>
    <row r="45" spans="4:4">
      <c r="D45" s="113">
        <v>35</v>
      </c>
    </row>
    <row r="46" spans="4:4">
      <c r="D46" s="123" t="s">
        <v>218</v>
      </c>
    </row>
    <row r="47" spans="4:4">
      <c r="D47" s="113" t="s">
        <v>1262</v>
      </c>
    </row>
    <row r="65" spans="6:6">
      <c r="F65" s="12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D101C728E9F146B9D777CF20E2D856" ma:contentTypeVersion="3" ma:contentTypeDescription="Create a new document." ma:contentTypeScope="" ma:versionID="beaab010750886aa426d6c6517965eed">
  <xsd:schema xmlns:xsd="http://www.w3.org/2001/XMLSchema" xmlns:xs="http://www.w3.org/2001/XMLSchema" xmlns:p="http://schemas.microsoft.com/office/2006/metadata/properties" xmlns:ns2="http://schemas.microsoft.com/sharepoint/v3/fields" xmlns:ns3="5e426cab-08c9-43f1-8647-d3f8f0abfe60" xmlns:ns4="dbef1542-d588-40b1-b7af-4ed67e954938" targetNamespace="http://schemas.microsoft.com/office/2006/metadata/properties" ma:root="true" ma:fieldsID="230ab62a7aad9ab6d510fa8e41fedba3" ns2:_="" ns3:_="" ns4:_="">
    <xsd:import namespace="http://schemas.microsoft.com/sharepoint/v3/fields"/>
    <xsd:import namespace="5e426cab-08c9-43f1-8647-d3f8f0abfe60"/>
    <xsd:import namespace="dbef1542-d588-40b1-b7af-4ed67e954938"/>
    <xsd:element name="properties">
      <xsd:complexType>
        <xsd:sequence>
          <xsd:element name="documentManagement">
            <xsd:complexType>
              <xsd:all>
                <xsd:element ref="ns2:_Status" minOccurs="0"/>
                <xsd:element ref="ns3:Client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Status" ma:index="8" nillable="true" ma:displayName="Status" ma:default="Not Started" ma:internalName="_Status">
      <xsd:simpleType>
        <xsd:union memberTypes="dms:Text">
          <xsd:simpleType>
            <xsd:restriction base="dms:Choice">
              <xsd:enumeration value="Not Started"/>
              <xsd:enumeration value="Draft"/>
              <xsd:enumeration value="Reviewed"/>
              <xsd:enumeration value="Scheduled"/>
              <xsd:enumeration value="Published"/>
              <xsd:enumeration value="Final"/>
              <xsd:enumeration value="Expired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26cab-08c9-43f1-8647-d3f8f0abfe60" elementFormDefault="qualified">
    <xsd:import namespace="http://schemas.microsoft.com/office/2006/documentManagement/types"/>
    <xsd:import namespace="http://schemas.microsoft.com/office/infopath/2007/PartnerControls"/>
    <xsd:element name="Client" ma:index="9" nillable="true" ma:displayName="Client" ma:default="Client Name" ma:description="Client name for use within a document." ma:internalName="Cli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ef1542-d588-40b1-b7af-4ed67e95493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tatus xmlns="http://schemas.microsoft.com/sharepoint/v3/fields">Not Started</_Status>
    <Client xmlns="5e426cab-08c9-43f1-8647-d3f8f0abfe60">CBCO</Client>
  </documentManagement>
</p:properties>
</file>

<file path=customXml/itemProps1.xml><?xml version="1.0" encoding="utf-8"?>
<ds:datastoreItem xmlns:ds="http://schemas.openxmlformats.org/officeDocument/2006/customXml" ds:itemID="{4BD4D86B-D1F9-486F-96E9-65072DF51D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90EAF6-7B1B-4F5F-BD62-7C8A6ED6BE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5e426cab-08c9-43f1-8647-d3f8f0abfe60"/>
    <ds:schemaRef ds:uri="dbef1542-d588-40b1-b7af-4ed67e9549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E393CFB-4189-4070-92C2-E61E2016CB60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5e426cab-08c9-43f1-8647-d3f8f0abfe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LB_GENERAL</vt:lpstr>
      <vt:lpstr>LB_PRODUCCION_02</vt:lpstr>
      <vt:lpstr>PRODUCCION</vt:lpstr>
      <vt:lpstr>PUERTOS_TEST</vt:lpstr>
      <vt:lpstr>Hoja1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Configurador Load Balancer 1.11</dc:title>
  <dc:creator>Armando Rey Ramos</dc:creator>
  <cp:lastModifiedBy>Ivan Hernandez</cp:lastModifiedBy>
  <dcterms:created xsi:type="dcterms:W3CDTF">2019-07-03T19:39:27Z</dcterms:created>
  <dcterms:modified xsi:type="dcterms:W3CDTF">2026-07-28T15:51:22Z</dcterms:modified>
  <cp:contentStatus>Reviewed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0x010100B6D101C728E9F146B9D777CF20E2D856</vt:lpwstr>
  </property>
</Properties>
</file>